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Mode d'emploi" sheetId="1" state="visible" r:id="rId1"/>
    <sheet name="01 Saint-Denis" sheetId="2" state="visible" r:id="rId2"/>
    <sheet name="02 Sainte-Marie" sheetId="3" state="visible" r:id="rId3"/>
    <sheet name="03 Sainte-Suzanne" sheetId="4" state="visible" r:id="rId4"/>
    <sheet name="04 Saint-André" sheetId="5" state="visible" r:id="rId5"/>
    <sheet name="05 Bras-Panon" sheetId="6" state="visible" r:id="rId6"/>
    <sheet name="06 Saint-Benoît" sheetId="7" state="visible" r:id="rId7"/>
    <sheet name="07 Sainte-Rose &amp; Hauteurs" sheetId="8" state="visible" r:id="rId8"/>
    <sheet name="08 Pilotage" sheetId="9" state="visible" r:id="rId9"/>
    <sheet name="09 Codes APE à cibler" sheetId="10" state="visible" r:id="rId10"/>
    <sheet name="10 Script d'appel" sheetId="11" state="visible" r:id="rId11"/>
    <sheet name="11 Sources &amp; mise à jour" sheetId="12" state="visible" r:id="rId12"/>
  </sheets>
  <definedNames>
    <definedName name="_xlnm._FilterDatabase" localSheetId="1" hidden="1">'01 Saint-Denis'!$A$4:$V$21</definedName>
    <definedName name="_xlnm._FilterDatabase" localSheetId="2" hidden="1">'02 Sainte-Marie'!$A$4:$V$21</definedName>
    <definedName name="_xlnm._FilterDatabase" localSheetId="3" hidden="1">'03 Sainte-Suzanne'!$A$4:$V$8</definedName>
    <definedName name="_xlnm._FilterDatabase" localSheetId="4" hidden="1">'04 Saint-André'!$A$4:$V$13</definedName>
    <definedName name="_xlnm._FilterDatabase" localSheetId="5" hidden="1">'05 Bras-Panon'!$A$4:$V$7</definedName>
    <definedName name="_xlnm._FilterDatabase" localSheetId="6" hidden="1">'06 Saint-Benoît'!$A$4:$V$10</definedName>
    <definedName name="_xlnm._FilterDatabase" localSheetId="7" hidden="1">'07 Sainte-Rose &amp; Hauteurs'!$A$4:$V$8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1"/>
    </font>
    <font>
      <name val="Calibri"/>
      <b val="1"/>
      <color rgb="002E75B6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6"/>
    </font>
    <font>
      <name val="Calibri"/>
      <b val="1"/>
      <color rgb="00FFFFFF"/>
      <sz val="10"/>
    </font>
    <font>
      <name val="Calibri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164" fontId="5" fillId="4" borderId="1" applyAlignment="1" pivotButton="0" quotePrefix="0" xfId="0">
      <alignment vertical="top"/>
    </xf>
    <xf numFmtId="0" fontId="3" fillId="0" borderId="0" pivotButton="0" quotePrefix="0" xfId="0"/>
    <xf numFmtId="0" fontId="7" fillId="3" borderId="1" applyAlignment="1" pivotButton="0" quotePrefix="0" xfId="0">
      <alignment horizontal="center" wrapText="1"/>
    </xf>
    <xf numFmtId="0" fontId="5" fillId="0" borderId="1" pivotButton="0" quotePrefix="0" xfId="0"/>
    <xf numFmtId="9" fontId="5" fillId="0" borderId="1" pivotButton="0" quotePrefix="0" xfId="0"/>
    <xf numFmtId="0" fontId="4" fillId="2" borderId="1" pivotButton="0" quotePrefix="0" xfId="0"/>
    <xf numFmtId="9" fontId="4" fillId="2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nnuaire-entreprises.data.gouv.fr/rechercher?terme=SOLAM%20OUTRE-MER%20Saint-Denis" TargetMode="External" Id="rId1" /><Relationship Type="http://schemas.openxmlformats.org/officeDocument/2006/relationships/hyperlink" Target="https://annuaire-entreprises.data.gouv.fr/rechercher?terme=SOCI%C3%89T%C3%89%20R%C3%89UNIONNAISE%20TOUT%20TRANSIT%20Saint-Denis" TargetMode="External" Id="rId2" /><Relationship Type="http://schemas.openxmlformats.org/officeDocument/2006/relationships/hyperlink" Target="https://annuaire-entreprises.data.gouv.fr/rechercher?terme=CMR%20OI%20Saint-Denis" TargetMode="External" Id="rId3" /><Relationship Type="http://schemas.openxmlformats.org/officeDocument/2006/relationships/hyperlink" Target="https://www.runlogistic.re/" TargetMode="External" Id="rId4" /><Relationship Type="http://schemas.openxmlformats.org/officeDocument/2006/relationships/hyperlink" Target="https://annuaire-entreprises.data.gouv.fr/rechercher?terme=RUNLOGISTIC%20Saint-Denis" TargetMode="External" Id="rId5" /><Relationship Type="http://schemas.openxmlformats.org/officeDocument/2006/relationships/hyperlink" Target="https://annuaire-entreprises.data.gouv.fr/rechercher?terme=MADARUN%20Saint-Denis" TargetMode="External" Id="rId6" /><Relationship Type="http://schemas.openxmlformats.org/officeDocument/2006/relationships/hyperlink" Target="https://annuaire-entreprises.data.gouv.fr/rechercher?terme=DEPOTAGE%20LOGISTIQUE%20R%C3%89UNION%20Saint-Denis" TargetMode="External" Id="rId7" /><Relationship Type="http://schemas.openxmlformats.org/officeDocument/2006/relationships/hyperlink" Target="https://annuaire-entreprises.data.gouv.fr/rechercher?terme=SLOI%20Saint-Denis" TargetMode="External" Id="rId8" /><Relationship Type="http://schemas.openxmlformats.org/officeDocument/2006/relationships/hyperlink" Target="https://annuaire-entreprises.data.gouv.fr/rechercher?terme=SFT%20GONDRAND%20FR%C3%88RES%20Saint-Denis" TargetMode="External" Id="rId9" /><Relationship Type="http://schemas.openxmlformats.org/officeDocument/2006/relationships/hyperlink" Target="https://annuaire-entreprises.data.gouv.fr/rechercher?terme=KOB%20DISTRIBUTION%20Saint-Denis" TargetMode="External" Id="rId10" /><Relationship Type="http://schemas.openxmlformats.org/officeDocument/2006/relationships/hyperlink" Target="https://annuaire-entreprises.data.gouv.fr/rechercher?terme=974%20EMBALLAGE%20Sainte-Clotilde%20%28Saint-Denis%29" TargetMode="External" Id="rId11" /><Relationship Type="http://schemas.openxmlformats.org/officeDocument/2006/relationships/hyperlink" Target="https://annuaire-entreprises.data.gouv.fr/rechercher?terme=ADELIS%20Saint-Denis" TargetMode="External" Id="rId12" /><Relationship Type="http://schemas.openxmlformats.org/officeDocument/2006/relationships/hyperlink" Target="https://annuaire-entreprises.data.gouv.fr/rechercher?terme=SODIREL%20Saint-Denis" TargetMode="External" Id="rId13" /><Relationship Type="http://schemas.openxmlformats.org/officeDocument/2006/relationships/hyperlink" Target="https://annuaire-entreprises.data.gouv.fr/rechercher?terme=RAVATE%20PROFESSIONNEL%20Saint-Denis" TargetMode="External" Id="rId14" /><Relationship Type="http://schemas.openxmlformats.org/officeDocument/2006/relationships/hyperlink" Target="https://www.cerp-sipr.com/cerp/" TargetMode="External" Id="rId15" /><Relationship Type="http://schemas.openxmlformats.org/officeDocument/2006/relationships/hyperlink" Target="https://annuaire-entreprises.data.gouv.fr/rechercher?terme=CERP%20R%C3%89UNION%20Saint-Denis" TargetMode="External" Id="rId16" /><Relationship Type="http://schemas.openxmlformats.org/officeDocument/2006/relationships/hyperlink" Target="https://annuaire-entreprises.data.gouv.fr/rechercher?terme=CGF%20NORD%20Sainte-Clotilde%20%28Saint-Denis%29" TargetMode="External" Id="rId17" /><Relationship Type="http://schemas.openxmlformats.org/officeDocument/2006/relationships/hyperlink" Target="https://annuaire-entreprises.data.gouv.fr/rechercher?terme=SOMADIS%20Sainte-Clotilde%20%28Saint-Denis%29" TargetMode="External" Id="rId18" /><Relationship Type="http://schemas.openxmlformats.org/officeDocument/2006/relationships/hyperlink" Target="https://annuaire-entreprises.data.gouv.fr/rechercher?terme=DEMECO%20CHEUNG%20D%C3%89M%C3%89NAGEMENTS%20Saint-Denis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sifalogistics.com/nos-agences/sifa-reunion/" TargetMode="External" Id="rId1" /><Relationship Type="http://schemas.openxmlformats.org/officeDocument/2006/relationships/hyperlink" Target="https://annuaire-entreprises.data.gouv.fr/rechercher?terme=SIFA%20LOGISTICS%20Sainte-Marie" TargetMode="External" Id="rId2" /><Relationship Type="http://schemas.openxmlformats.org/officeDocument/2006/relationships/hyperlink" Target="https://annuaire-entreprises.data.gouv.fr/rechercher?terme=DSG%20TRANSIT%20REPIQUET%20Sainte-Marie" TargetMode="External" Id="rId3" /><Relationship Type="http://schemas.openxmlformats.org/officeDocument/2006/relationships/hyperlink" Target="https://annuaire-entreprises.data.gouv.fr/rechercher?terme=SNT%20Sainte-Marie" TargetMode="External" Id="rId4" /><Relationship Type="http://schemas.openxmlformats.org/officeDocument/2006/relationships/hyperlink" Target="https://annuaire-entreprises.data.gouv.fr/rechercher?terme=T-TRAM%20Sainte-Marie" TargetMode="External" Id="rId5" /><Relationship Type="http://schemas.openxmlformats.org/officeDocument/2006/relationships/hyperlink" Target="https://annuaire-entreprises.data.gouv.fr/rechercher?terme=CHRONOPOST%20Sainte-Marie" TargetMode="External" Id="rId6" /><Relationship Type="http://schemas.openxmlformats.org/officeDocument/2006/relationships/hyperlink" Target="https://annuaire-entreprises.data.gouv.fr/rechercher?terme=DHL%20INTERNATIONAL%20R%C3%89UNION%20Sainte-Marie" TargetMode="External" Id="rId7" /><Relationship Type="http://schemas.openxmlformats.org/officeDocument/2006/relationships/hyperlink" Target="https://annuaire-entreprises.data.gouv.fr/rechercher?terme=TRANS%20EXPRESS%20R%C3%89UNION%20Sainte-Marie" TargetMode="External" Id="rId8" /><Relationship Type="http://schemas.openxmlformats.org/officeDocument/2006/relationships/hyperlink" Target="https://annuaire-entreprises.data.gouv.fr/rechercher?terme=OCX%20R%C3%89UNION%20Sainte-Marie" TargetMode="External" Id="rId9" /><Relationship Type="http://schemas.openxmlformats.org/officeDocument/2006/relationships/hyperlink" Target="https://annuaire-entreprises.data.gouv.fr/rechercher?terme=HOLDTRANS%20Sainte-Marie" TargetMode="External" Id="rId10" /><Relationship Type="http://schemas.openxmlformats.org/officeDocument/2006/relationships/hyperlink" Target="https://annuaire-entreprises.data.gouv.fr/rechercher?terme=BOLLOR%C3%89%20LOGISTICS%20R%C3%89UNION%20Sainte-Marie" TargetMode="External" Id="rId11" /><Relationship Type="http://schemas.openxmlformats.org/officeDocument/2006/relationships/hyperlink" Target="https://annuaire-entreprises.data.gouv.fr/rechercher?terme=SCHENKER%20FRANCE%20Sainte-Marie" TargetMode="External" Id="rId12" /><Relationship Type="http://schemas.openxmlformats.org/officeDocument/2006/relationships/hyperlink" Target="https://annuaire-entreprises.data.gouv.fr/rechercher?terme=KUEHNE%20%2B%20NAGEL%20Sainte-Marie" TargetMode="External" Id="rId13" /><Relationship Type="http://schemas.openxmlformats.org/officeDocument/2006/relationships/hyperlink" Target="https://annuaire-entreprises.data.gouv.fr/rechercher?terme=LEROY%20MERLIN%20SAINTE-MARIE%20Sainte-Marie" TargetMode="External" Id="rId14" /><Relationship Type="http://schemas.openxmlformats.org/officeDocument/2006/relationships/hyperlink" Target="https://annuaire-entreprises.data.gouv.fr/rechercher?terme=LA%20POSTE%20Sainte-Marie" TargetMode="External" Id="rId15" /><Relationship Type="http://schemas.openxmlformats.org/officeDocument/2006/relationships/hyperlink" Target="https://annuaire-entreprises.data.gouv.fr/rechercher?terme=SIPR%20/%20MAD-SIPR%20Sainte-Marie" TargetMode="External" Id="rId16" /><Relationship Type="http://schemas.openxmlformats.org/officeDocument/2006/relationships/hyperlink" Target="https://annuaire-entreprises.data.gouv.fr/rechercher?terme=SD%20BEAUS%C3%89JOUR%20Sainte-Marie" TargetMode="External" Id="rId17" /><Relationship Type="http://schemas.openxmlformats.org/officeDocument/2006/relationships/hyperlink" Target="https://annuaire-entreprises.data.gouv.fr/rechercher?terme=U%20EXPRESS%20SAINTE-MARIE%20Sainte-Marie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annuaire-entreprises.data.gouv.fr/rechercher?terme=SOCI%C3%89T%C3%89%20TRANS%20LOGISTICS%20R%C3%89UNION%20Sainte-Suzanne" TargetMode="External" Id="rId1" /><Relationship Type="http://schemas.openxmlformats.org/officeDocument/2006/relationships/hyperlink" Target="https://annuaire-entreprises.data.gouv.fr/rechercher?terme=MRUN%20TRANSPORT%20Sainte-Suzanne" TargetMode="External" Id="rId2" /><Relationship Type="http://schemas.openxmlformats.org/officeDocument/2006/relationships/hyperlink" Target="https://annuaire-entreprises.data.gouv.fr/rechercher?terme=TIAMONTINIA%20Sainte-Suzanne" TargetMode="External" Id="rId3" /><Relationship Type="http://schemas.openxmlformats.org/officeDocument/2006/relationships/hyperlink" Target="https://annuaire-entreprises.data.gouv.fr/rechercher?terme=ALLON%20ROULE%20%21%20Sainte-Suzanne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annuaire-entreprises.data.gouv.fr/rechercher?terme=TRANSPORT%20LOGISTIQUE%20R%C3%89UNION%20Saint-Andr%C3%A9" TargetMode="External" Id="rId1" /><Relationship Type="http://schemas.openxmlformats.org/officeDocument/2006/relationships/hyperlink" Target="https://annuaire-entreprises.data.gouv.fr/rechercher?terme=GLR%20LOGISTICS%20Saint-Andr%C3%A9" TargetMode="External" Id="rId2" /><Relationship Type="http://schemas.openxmlformats.org/officeDocument/2006/relationships/hyperlink" Target="https://annuaire-entreprises.data.gouv.fr/rechercher?terme=SAM%20I%20TRANSPORTE%20Saint-Andr%C3%A9" TargetMode="External" Id="rId3" /><Relationship Type="http://schemas.openxmlformats.org/officeDocument/2006/relationships/hyperlink" Target="https://annuaire-entreprises.data.gouv.fr/rechercher?terme=ZARLOC%20Saint-Andr%C3%A9" TargetMode="External" Id="rId4" /><Relationship Type="http://schemas.openxmlformats.org/officeDocument/2006/relationships/hyperlink" Target="https://annuaire-entreprises.data.gouv.fr/rechercher?terme=TERALTA%20GRANULATS%20%26%20B%C3%89TON%20R%C3%89UNION%20Saint-Andr%C3%A9" TargetMode="External" Id="rId5" /><Relationship Type="http://schemas.openxmlformats.org/officeDocument/2006/relationships/hyperlink" Target="https://annuaire-entreprises.data.gouv.fr/rechercher?terme=RUN%20MARKET%20SAINT-ANDR%C3%89%20Saint-Andr%C3%A9" TargetMode="External" Id="rId6" /><Relationship Type="http://schemas.openxmlformats.org/officeDocument/2006/relationships/hyperlink" Target="https://annuaire-entreprises.data.gouv.fr/rechercher?terme=SUPER%20U%20SAINT-ANDR%C3%89%20Saint-Andr%C3%A9" TargetMode="External" Id="rId7" /><Relationship Type="http://schemas.openxmlformats.org/officeDocument/2006/relationships/hyperlink" Target="https://www.tereos.re/" TargetMode="External" Id="rId8" /><Relationship Type="http://schemas.openxmlformats.org/officeDocument/2006/relationships/hyperlink" Target="https://annuaire-entreprises.data.gouv.fr/rechercher?terme=TEREOS%20OC%C3%89AN%20INDIEN%20Saint-Andr%C3%A9" TargetMode="External" Id="rId9" /><Relationship Type="http://schemas.openxmlformats.org/officeDocument/2006/relationships/hyperlink" Target="https://annuaire-entreprises.data.gouv.fr/rechercher?terme=SKAL%20BRICO%20SODIS%20Saint-Andr%C3%A9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annuaire-entreprises.data.gouv.fr/rechercher?terme=CR%C3%89OLE%20LOGISTIQUE%20TRANSPORT%20Bras-Panon" TargetMode="External" Id="rId1" /><Relationship Type="http://schemas.openxmlformats.org/officeDocument/2006/relationships/hyperlink" Target="https://annuaire-entreprises.data.gouv.fr/rechercher?terme=AFA%20MARIE%20Bras-Panon" TargetMode="External" Id="rId2" /><Relationship Type="http://schemas.openxmlformats.org/officeDocument/2006/relationships/hyperlink" Target="https://annuaire-entreprises.data.gouv.fr/rechercher?terme=WIN%20LOCATION%20Bras-Panon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roupe-camalon.com/" TargetMode="External" Id="rId1" /><Relationship Type="http://schemas.openxmlformats.org/officeDocument/2006/relationships/hyperlink" Target="https://annuaire-entreprises.data.gouv.fr/rechercher?terme=TRANSPORTS%20CAMALON%20Saint-Beno%C3%AEt" TargetMode="External" Id="rId2" /><Relationship Type="http://schemas.openxmlformats.org/officeDocument/2006/relationships/hyperlink" Target="https://www.transcoopoi.re/" TargetMode="External" Id="rId3" /><Relationship Type="http://schemas.openxmlformats.org/officeDocument/2006/relationships/hyperlink" Target="https://annuaire-entreprises.data.gouv.fr/rechercher?terme=TRANS%27COOP%20O.I%20Saint-Beno%C3%AEt" TargetMode="External" Id="rId4" /><Relationship Type="http://schemas.openxmlformats.org/officeDocument/2006/relationships/hyperlink" Target="https://annuaire-entreprises.data.gouv.fr/rechercher?terme=GROUPE%20HOSPITALIER%20EST%20R%C3%89UNION%20Saint-Beno%C3%AEt" TargetMode="External" Id="rId5" /><Relationship Type="http://schemas.openxmlformats.org/officeDocument/2006/relationships/hyperlink" Target="https://annuaire-entreprises.data.gouv.fr/rechercher?terme=CARREFOUR%20SAINT-BENO%C3%8ET%20Saint-Beno%C3%AEt" TargetMode="External" Id="rId6" /><Relationship Type="http://schemas.openxmlformats.org/officeDocument/2006/relationships/hyperlink" Target="https://annuaire-entreprises.data.gouv.fr/rechercher?terme=SUPER%20U%20CHANE%20FAT%20Saint-Beno%C3%AEt" TargetMode="External" Id="rId7" /><Relationship Type="http://schemas.openxmlformats.org/officeDocument/2006/relationships/hyperlink" Target="https://annuaire-entreprises.data.gouv.fr/rechercher?terme=TRANSPORT%20ROUTIER%20LEGROS%20Sainte-Anne%20%28Saint-Beno%C3%AEt%29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annuaire-entreprises.data.gouv.fr/rechercher?terme=logistique%20transport%20Sainte-Rose" TargetMode="External" Id="rId1" /><Relationship Type="http://schemas.openxmlformats.org/officeDocument/2006/relationships/hyperlink" Target="https://annuaire-entreprises.data.gouv.fr/rechercher?terme=logistique%20transport%20La%20Plaine-des-Palmistes" TargetMode="External" Id="rId2" /><Relationship Type="http://schemas.openxmlformats.org/officeDocument/2006/relationships/hyperlink" Target="https://annuaire-entreprises.data.gouv.fr/rechercher?terme=logistique%20transport%20Salazie" TargetMode="External" Id="rId3" /><Relationship Type="http://schemas.openxmlformats.org/officeDocument/2006/relationships/hyperlink" Target="https://annuaire-entreprises.data.gouv.fr/rechercher?terme=logistique%20transport%20Saint-Denis%20%28hauteurs%29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s://annuaire-entreprises.data.gouv.fr/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annuaire-entreprises.data.gouv.fr/" TargetMode="External" Id="rId1" /><Relationship Type="http://schemas.openxmlformats.org/officeDocument/2006/relationships/hyperlink" Target="https://recherche-entreprises.api.gouv.fr/" TargetMode="External" Id="rId2" /><Relationship Type="http://schemas.openxmlformats.org/officeDocument/2006/relationships/hyperlink" Target="https://www2.transports.developpement-durable.gouv.fr/registres/marchandises/99.pdf" TargetMode="External" Id="rId3" /><Relationship Type="http://schemas.openxmlformats.org/officeDocument/2006/relationships/hyperlink" Target="https://www.pagesjaunes.fr/annuaire/departement/reunion-974/transport-marchandises" TargetMode="External" Id="rId4" /><Relationship Type="http://schemas.openxmlformats.org/officeDocument/2006/relationships/hyperlink" Target="https://fr.kompass.com/s/transports-et-logistique/10/r/la-reunion/fr_04/" TargetMode="External" Id="rId5" /><Relationship Type="http://schemas.openxmlformats.org/officeDocument/2006/relationships/hyperlink" Target="https://www.reunion-directory.com/professions/transit-douane.html" TargetMode="External" Id="rId6" /><Relationship Type="http://schemas.openxmlformats.org/officeDocument/2006/relationships/hyperlink" Target="https://www.reunion.cci.fr/" TargetMode="External" Id="rId7" /><Relationship Type="http://schemas.openxmlformats.org/officeDocument/2006/relationships/hyperlink" Target="https://candidat.francetravail.fr/offres/recherche" TargetMode="External" Id="rId8" /><Relationship Type="http://schemas.openxmlformats.org/officeDocument/2006/relationships/hyperlink" Target="https://www.reunion.aeroport.fr/fret/annuaire" TargetMode="External" Id="rId9" /><Relationship Type="http://schemas.openxmlformats.org/officeDocument/2006/relationships/hyperlink" Target="https://fr.kompass.com/s/transports-et-logistique/10/v/saint-andre/fr_04_974_97409/" TargetMode="External" Id="rId10" /><Relationship Type="http://schemas.openxmlformats.org/officeDocument/2006/relationships/hyperlink" Target="https://www.pagesjaunes.fr/siret/80216938300014" TargetMode="External" Id="rId11" /><Relationship Type="http://schemas.openxmlformats.org/officeDocument/2006/relationships/hyperlink" Target="https://www.tereos.re/visitez-nos-sucreries/sucrerie-de-bois-rouge" TargetMode="External" Id="rId12" /><Relationship Type="http://schemas.openxmlformats.org/officeDocument/2006/relationships/hyperlink" Target="https://www.cerp-sipr.com/cerp/" TargetMode="External" Id="rId13" /><Relationship Type="http://schemas.openxmlformats.org/officeDocument/2006/relationships/hyperlink" Target="https://sifalogistics.com/nos-agences/sifa-reunion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0" customWidth="1" min="3" max="3"/>
  </cols>
  <sheetData>
    <row r="2">
      <c r="B2" s="1" t="inlineStr">
        <is>
          <t>FICHIER DE PROSPECTION – LOGISTIQUE EN APPRENTISSAGE</t>
        </is>
      </c>
    </row>
    <row r="3">
      <c r="B3" s="2" t="inlineStr">
        <is>
          <t>Bassin Nord-Est de La Réunion : de Saint-Denis à Sainte-Rose, hauteurs comprises</t>
        </is>
      </c>
    </row>
    <row r="5">
      <c r="B5" s="3" t="inlineStr">
        <is>
          <t>À QUOI SERT CE FICHIER</t>
        </is>
      </c>
      <c r="C5" s="4" t="n"/>
    </row>
    <row r="6" ht="26" customHeight="1">
      <c r="B6" s="5" t="inlineStr">
        <is>
          <t>Objectif</t>
        </is>
      </c>
      <c r="C6" s="6" t="inlineStr">
        <is>
          <t>Identifier et suivre les entreprises du bassin Nord-Est susceptibles de signer un contrat d'apprentissage sur un métier de la logistique (16-25 ans).</t>
        </is>
      </c>
    </row>
    <row r="7" ht="26" customHeight="1">
      <c r="B7" s="5" t="inlineStr">
        <is>
          <t>Périmètre géographique</t>
        </is>
      </c>
      <c r="C7" s="6" t="inlineStr">
        <is>
          <t>Saint-Denis, Sainte-Clotilde, Sainte-Marie, Sainte-Suzanne, Saint-André, Bras-Panon, Saint-Benoît, La Plaine-des-Palmistes, Sainte-Rose, Salazie et les hauteurs.</t>
        </is>
      </c>
    </row>
    <row r="8" ht="26" customHeight="1">
      <c r="B8" s="5" t="inlineStr">
        <is>
          <t>Un onglet = une commune</t>
        </is>
      </c>
      <c r="C8" s="6" t="inlineStr">
        <is>
          <t>Les onglets 01 à 07 suivent l'axe littoral Nord-Est, dans l'ordre de la route. Vous pouvez faire une tournée terrain onglet par onglet.</t>
        </is>
      </c>
    </row>
    <row r="10">
      <c r="B10" s="3" t="inlineStr">
        <is>
          <t>⚠️ LIRE AVANT UTILISATION – FIABILITÉ DES DONNÉES</t>
        </is>
      </c>
      <c r="C10" s="4" t="n"/>
    </row>
    <row r="11" ht="39" customHeight="1">
      <c r="B11" s="5" t="inlineStr">
        <is>
          <t>Ce qui est fourni</t>
        </is>
      </c>
      <c r="C11" s="6" t="inlineStr">
        <is>
          <t>Raison sociale, adresse, commune, segment d'activité et poste d'apprenti pertinent. Ces éléments proviennent de sources publiques (annuaires professionnels, sites officiels des entreprises).</t>
        </is>
      </c>
    </row>
    <row r="12" ht="39" customHeight="1">
      <c r="B12" s="5" t="inlineStr">
        <is>
          <t>Ce qui est à compléter</t>
        </is>
      </c>
      <c r="C12" s="6" t="inlineStr">
        <is>
          <t>SIRET, code APE, nom du dirigeant, téléphone et email portent la mention « A VERIFIER » ou « A COMPLETER » lorsqu'ils n'ont pas pu être confirmés. AUCUNE de ces données n'a été inventée : un SIRET ou un nom de dirigeant faux vous ferait perdre votre crédibilité dès le premier appel.</t>
        </is>
      </c>
    </row>
    <row r="13" ht="39" customHeight="1">
      <c r="B13" s="5" t="inlineStr">
        <is>
          <t>Comment compléter en 2 clics</t>
        </is>
      </c>
      <c r="C13" s="6" t="inlineStr">
        <is>
          <t>Colonne « Vérifier SIRET / APE / Dirigeant » : chaque ligne contient un lien pré-rempli vers l'Annuaire des Entreprises (annuaire-entreprises.data.gouv.fr). Cliquez, puis recopiez le SIRET, le code APE et le nom du dirigeant. C'est gratuit, officiel et à jour.</t>
        </is>
      </c>
    </row>
    <row r="14" ht="39" customHeight="1">
      <c r="B14" s="5" t="inlineStr">
        <is>
          <t>Emails et téléphones</t>
        </is>
      </c>
      <c r="C14" s="6" t="inlineStr">
        <is>
          <t>Ils ne figurent pas dans l'open data. Sources : site web de l'entreprise (page Contact / Mentions légales), page LinkedIn de l'entreprise, ou standard téléphonique. Astuce : demandez toujours « qui s'occupe des recrutements et de la taxe d'apprentissage ? ».</t>
        </is>
      </c>
    </row>
    <row r="16">
      <c r="B16" s="3" t="inlineStr">
        <is>
          <t>MÉTHODE DE TRAVAIL CONSEILLÉE</t>
        </is>
      </c>
      <c r="C16" s="4" t="n"/>
    </row>
    <row r="17" ht="26" customHeight="1">
      <c r="B17" s="5" t="inlineStr">
        <is>
          <t>1. Qualifier avant d'appeler</t>
        </is>
      </c>
      <c r="C17" s="6" t="inlineStr">
        <is>
          <t>Complétez SIRET + APE + dirigeant. Un appel préparé où vous citez le nom du dirigeant et l'activité exacte double le taux de RDV.</t>
        </is>
      </c>
    </row>
    <row r="18" ht="26" customHeight="1">
      <c r="B18" s="5" t="inlineStr">
        <is>
          <t>2. Prioriser</t>
        </is>
      </c>
      <c r="C18" s="6" t="inlineStr">
        <is>
          <t>Colonne Priorité : P1 = logistique au cœur du métier, structure capable de tutorer. P2 = besoin logistique réel mais secondaire. P3 = TPE ou à qualifier. Traitez les P1 en premier.</t>
        </is>
      </c>
    </row>
    <row r="19" ht="26" customHeight="1">
      <c r="B19" s="5" t="inlineStr">
        <is>
          <t>3. Tracer chaque contact</t>
        </is>
      </c>
      <c r="C19" s="6" t="inlineStr">
        <is>
          <t>Colonnes « Statut prospection » et « Date dernier contact » : à remplir après CHAQUE échange. C'est ce qui fait la différence sur une campagne de 3 mois.</t>
        </is>
      </c>
    </row>
    <row r="20" ht="15" customHeight="1">
      <c r="B20" s="5" t="inlineStr">
        <is>
          <t>4. Suivre les chiffres</t>
        </is>
      </c>
      <c r="C20" s="6" t="inlineStr">
        <is>
          <t>Onglet « 08 Pilotage » : compteurs automatiques par commune et par statut.</t>
        </is>
      </c>
    </row>
    <row r="22">
      <c r="B22" s="3" t="inlineStr">
        <is>
          <t>ONGLETS OUTILS</t>
        </is>
      </c>
      <c r="C22" s="4" t="n"/>
    </row>
    <row r="23" ht="26" customHeight="1">
      <c r="B23" s="5" t="inlineStr">
        <is>
          <t>09 Codes APE à cibler</t>
        </is>
      </c>
      <c r="C23" s="6" t="inlineStr">
        <is>
          <t>La liste des codes APE/NAF qui trahissent un besoin logistique. Utilisez-la pour élargir vous-même le fichier depuis l'Annuaire des Entreprises.</t>
        </is>
      </c>
    </row>
    <row r="24" ht="15" customHeight="1">
      <c r="B24" s="5" t="inlineStr">
        <is>
          <t>10 Script d'appel</t>
        </is>
      </c>
      <c r="C24" s="6" t="inlineStr">
        <is>
          <t>Trame d'appel à froid, argumentaire employeur et réponses aux objections les plus fréquentes.</t>
        </is>
      </c>
    </row>
    <row r="25" ht="15" customHeight="1">
      <c r="B25" s="5" t="inlineStr">
        <is>
          <t>11 Sources &amp; mise à jour</t>
        </is>
      </c>
      <c r="C25" s="6" t="inlineStr">
        <is>
          <t>D'où viennent les données, et où aller les actualiser.</t>
        </is>
      </c>
    </row>
    <row r="27">
      <c r="B27" s="3" t="inlineStr">
        <is>
          <t>REMPLISSAGE AUTOMATIQUE – 2 MINUTES</t>
        </is>
      </c>
      <c r="C27" s="4" t="n"/>
    </row>
    <row r="28" ht="39" customHeight="1">
      <c r="B28" s="5" t="inlineStr">
        <is>
          <t>Le script d'auto-complétion</t>
        </is>
      </c>
      <c r="C28" s="6" t="inlineStr">
        <is>
          <t>Le fichier « completer_via_annuaire.py » (fourni à côté de ce classeur) interroge l'API officielle de l'INSEE (recherche-entreprises.api.gouv.fr) et remplit tout seul les colonnes SIRET, Code APE, Libellé APE, Effectif et Dirigeant, pour toutes les lignes du fichier.</t>
        </is>
      </c>
    </row>
    <row r="29" ht="39" customHeight="1">
      <c r="B29" s="5" t="inlineStr">
        <is>
          <t>Comment le lancer</t>
        </is>
      </c>
      <c r="C29" s="6" t="inlineStr">
        <is>
          <t>Sur Mac : ouvrir le Terminal. Sur PC : ouvrir l'invite de commandes. Taper : python3 completer_via_annuaire.py  (voir le fichier LISEZ-MOI.md pour le détail). Le script crée une COPIE enrichie et ne touche jamais à votre fichier de travail.</t>
        </is>
      </c>
    </row>
    <row r="30" ht="39" customHeight="1">
      <c r="B30" s="5" t="inlineStr">
        <is>
          <t>Ce qu'il ne fait pas</t>
        </is>
      </c>
      <c r="C30" s="6" t="inlineStr">
        <is>
          <t>Il ne remplit ni les téléphones ni les emails : ces données ne sont dans aucune base ouverte. Il ne remplit une case QUE s'il est sûr de l'entreprise ; sinon il laisse « A VERIFIER » et note le doute dans le journal.</t>
        </is>
      </c>
    </row>
    <row r="31" ht="26" customHeight="1">
      <c r="B31" s="5" t="inlineStr">
        <is>
          <t>La colonne Effectif</t>
        </is>
      </c>
      <c r="C31" s="6" t="inlineStr">
        <is>
          <t>Tranche d'effectif salarié INSEE. C'est votre filtre le plus utile : une entreprise de 0 salarié ne pourra pas tutorer un apprenti, une entreprise de 10 à 50 salariés est la cible idéale.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SAINT-DENIS</t>
        </is>
      </c>
    </row>
    <row r="2" ht="16" customHeight="1">
      <c r="A2" s="2" t="inlineStr">
        <is>
          <t>Saint-Denis / Sainte-Clotilde / Le Chaudron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SOLAM OUTRE-MER (SOLAM RÉUNION)</t>
        </is>
      </c>
      <c r="C5" s="9" t="inlineStr">
        <is>
          <t>Prestataire logistique (3PL)</t>
        </is>
      </c>
      <c r="D5" s="11" t="inlineStr">
        <is>
          <t>3 chemin des Écoliers</t>
        </is>
      </c>
      <c r="E5" s="9" t="inlineStr">
        <is>
          <t>97400</t>
        </is>
      </c>
      <c r="F5" s="9" t="inlineStr">
        <is>
          <t>Saint-Denis</t>
        </is>
      </c>
      <c r="G5" s="12" t="inlineStr">
        <is>
          <t>A VERIFIER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9" t="inlineStr">
        <is>
          <t>A COMPLETER</t>
        </is>
      </c>
      <c r="P5" s="11" t="inlineStr">
        <is>
          <t>Opérateur logistique / Prépa. commandes</t>
        </is>
      </c>
      <c r="Q5" s="9" t="inlineStr">
        <is>
          <t>P1</t>
        </is>
      </c>
      <c r="R5" s="9" t="inlineStr">
        <is>
          <t>Source annuaire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Gestion d'entrepôt, livraison, suivi des flux, expédition. Profil idéal : préparateur de commandes.</t>
        </is>
      </c>
    </row>
    <row r="6" ht="46" customHeight="1">
      <c r="A6" s="15" t="n">
        <v>2</v>
      </c>
      <c r="B6" s="16" t="inlineStr">
        <is>
          <t>SOCIÉTÉ RÉUNIONNAISE TOUT TRANSIT (SRTT)</t>
        </is>
      </c>
      <c r="C6" s="15" t="inlineStr">
        <is>
          <t>Transit / Commission de transport</t>
        </is>
      </c>
      <c r="D6" s="17" t="inlineStr">
        <is>
          <t>106 rue Deux Canons</t>
        </is>
      </c>
      <c r="E6" s="15" t="inlineStr">
        <is>
          <t>97400</t>
        </is>
      </c>
      <c r="F6" s="15" t="inlineStr">
        <is>
          <t>Saint-Denis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Agent de transit / Déclarant douane jr</t>
        </is>
      </c>
      <c r="Q6" s="15" t="inlineStr">
        <is>
          <t>P1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>
        <is>
          <t>Transport international + stockage, préparation de commandes, expédition.</t>
        </is>
      </c>
    </row>
    <row r="7" ht="46" customHeight="1">
      <c r="A7" s="9" t="n">
        <v>3</v>
      </c>
      <c r="B7" s="10" t="inlineStr">
        <is>
          <t>CMR OI</t>
        </is>
      </c>
      <c r="C7" s="9" t="inlineStr">
        <is>
          <t>Transit multimodal + stockage</t>
        </is>
      </c>
      <c r="D7" s="11" t="inlineStr">
        <is>
          <t>A VERIFIER</t>
        </is>
      </c>
      <c r="E7" s="9" t="inlineStr">
        <is>
          <t>97400</t>
        </is>
      </c>
      <c r="F7" s="9" t="inlineStr">
        <is>
          <t>Saint-Denis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Agent de transit / Déclarant douane jr</t>
        </is>
      </c>
      <c r="Q7" s="9" t="inlineStr">
        <is>
          <t>P1</t>
        </is>
      </c>
      <c r="R7" s="9" t="inlineStr">
        <is>
          <t>Source annuaire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Routier, aérien, maritime + stockage et distribution.</t>
        </is>
      </c>
    </row>
    <row r="8" ht="46" customHeight="1">
      <c r="A8" s="15" t="n">
        <v>4</v>
      </c>
      <c r="B8" s="16" t="inlineStr">
        <is>
          <t>RUNLOGISTIC</t>
        </is>
      </c>
      <c r="C8" s="15" t="inlineStr">
        <is>
          <t>Commissionnaire de transport</t>
        </is>
      </c>
      <c r="D8" s="17" t="inlineStr">
        <is>
          <t>A VERIFIER</t>
        </is>
      </c>
      <c r="E8" s="15" t="inlineStr">
        <is>
          <t>97400</t>
        </is>
      </c>
      <c r="F8" s="15" t="inlineStr">
        <is>
          <t>Saint-Denis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9" t="inlineStr">
        <is>
          <t>https://www.runlogistic.re/</t>
        </is>
      </c>
      <c r="P8" s="17" t="inlineStr">
        <is>
          <t>Agent de transit / Déclarant douane jr</t>
        </is>
      </c>
      <c r="Q8" s="15" t="inlineStr">
        <is>
          <t>P1</t>
        </is>
      </c>
      <c r="R8" s="15" t="inlineStr">
        <is>
          <t>Source annuaire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>
        <is>
          <t>Site : runlogistic.re — organisateur de transport.</t>
        </is>
      </c>
    </row>
    <row r="9" ht="46" customHeight="1">
      <c r="A9" s="9" t="n">
        <v>5</v>
      </c>
      <c r="B9" s="10" t="inlineStr">
        <is>
          <t>MADARUN</t>
        </is>
      </c>
      <c r="C9" s="9" t="inlineStr">
        <is>
          <t>Transport / Logistique</t>
        </is>
      </c>
      <c r="D9" s="11" t="inlineStr">
        <is>
          <t>27 rue Monseigneur Mondon</t>
        </is>
      </c>
      <c r="E9" s="9" t="inlineStr">
        <is>
          <t>97400</t>
        </is>
      </c>
      <c r="F9" s="9" t="inlineStr">
        <is>
          <t>Saint-Denis</t>
        </is>
      </c>
      <c r="G9" s="12" t="inlineStr">
        <is>
          <t>A VERIFIER</t>
        </is>
      </c>
      <c r="H9" s="9" t="inlineStr">
        <is>
          <t>A VERIFIER</t>
        </is>
      </c>
      <c r="I9" s="11" t="inlineStr">
        <is>
          <t>A VERIFIER</t>
        </is>
      </c>
      <c r="J9" s="9" t="inlineStr">
        <is>
          <t>A COMPLETER</t>
        </is>
      </c>
      <c r="K9" s="9" t="inlineStr">
        <is>
          <t>A COMPLETER</t>
        </is>
      </c>
      <c r="L9" s="9" t="inlineStr">
        <is>
          <t>Dirigeant / DG</t>
        </is>
      </c>
      <c r="M9" s="12" t="inlineStr">
        <is>
          <t>A COMPLETER</t>
        </is>
      </c>
      <c r="N9" s="9" t="inlineStr">
        <is>
          <t>A COMPLETER</t>
        </is>
      </c>
      <c r="O9" s="9" t="inlineStr">
        <is>
          <t>A COMPLETER</t>
        </is>
      </c>
      <c r="P9" s="11" t="inlineStr">
        <is>
          <t>Opérateur logistique / Prépa. commandes</t>
        </is>
      </c>
      <c r="Q9" s="9" t="inlineStr">
        <is>
          <t>P2</t>
        </is>
      </c>
      <c r="R9" s="9" t="inlineStr">
        <is>
          <t>Source annuaire</t>
        </is>
      </c>
      <c r="S9" s="13" t="inlineStr">
        <is>
          <t>Ouvrir la fiche entreprise</t>
        </is>
      </c>
      <c r="T9" s="9" t="inlineStr">
        <is>
          <t>A contacter</t>
        </is>
      </c>
      <c r="U9" s="14" t="inlineStr"/>
      <c r="V9" s="11" t="inlineStr">
        <is>
          <t>Transport particuliers et professionnels.</t>
        </is>
      </c>
    </row>
    <row r="10" ht="46" customHeight="1">
      <c r="A10" s="15" t="n">
        <v>6</v>
      </c>
      <c r="B10" s="16" t="inlineStr">
        <is>
          <t>DEPOTAGE LOGISTIQUE RÉUNION (DLR)</t>
        </is>
      </c>
      <c r="C10" s="15" t="inlineStr">
        <is>
          <t>Dépotage conteneurs / Entreposage</t>
        </is>
      </c>
      <c r="D10" s="17" t="inlineStr">
        <is>
          <t>A VERIFIER</t>
        </is>
      </c>
      <c r="E10" s="15" t="inlineStr">
        <is>
          <t>97400</t>
        </is>
      </c>
      <c r="F10" s="15" t="inlineStr">
        <is>
          <t>Saint-Denis</t>
        </is>
      </c>
      <c r="G10" s="18" t="inlineStr">
        <is>
          <t>91889408000012</t>
        </is>
      </c>
      <c r="H10" s="15" t="inlineStr">
        <is>
          <t>A VERIFIER</t>
        </is>
      </c>
      <c r="I10" s="17" t="inlineStr">
        <is>
          <t>A VERIFIER</t>
        </is>
      </c>
      <c r="J10" s="15" t="inlineStr">
        <is>
          <t>A COMPLETER</t>
        </is>
      </c>
      <c r="K10" s="15" t="inlineStr">
        <is>
          <t>A COMPLETER</t>
        </is>
      </c>
      <c r="L10" s="15" t="inlineStr">
        <is>
          <t>Dirigeant / DG</t>
        </is>
      </c>
      <c r="M10" s="18" t="inlineStr">
        <is>
          <t>A COMPLETER</t>
        </is>
      </c>
      <c r="N10" s="15" t="inlineStr">
        <is>
          <t>A COMPLETER</t>
        </is>
      </c>
      <c r="O10" s="15" t="inlineStr">
        <is>
          <t>A COMPLETER</t>
        </is>
      </c>
      <c r="P10" s="17" t="inlineStr">
        <is>
          <t>Agent de quai / Réception-expédition</t>
        </is>
      </c>
      <c r="Q10" s="15" t="inlineStr">
        <is>
          <t>P1</t>
        </is>
      </c>
      <c r="R10" s="15" t="inlineStr">
        <is>
          <t>Source annuaire</t>
        </is>
      </c>
      <c r="S10" s="19" t="inlineStr">
        <is>
          <t>Ouvrir la fiche entreprise</t>
        </is>
      </c>
      <c r="T10" s="15" t="inlineStr">
        <is>
          <t>A contacter</t>
        </is>
      </c>
      <c r="U10" s="20" t="inlineStr"/>
      <c r="V10" s="17" t="inlineStr">
        <is>
          <t>SIRET relevé sur base publique — à reconfirmer sur l'Annuaire des Entreprises.</t>
        </is>
      </c>
    </row>
    <row r="11" ht="46" customHeight="1">
      <c r="A11" s="9" t="n">
        <v>7</v>
      </c>
      <c r="B11" s="10" t="inlineStr">
        <is>
          <t>SLOI (Groupe SOMATRANS)</t>
        </is>
      </c>
      <c r="C11" s="9" t="inlineStr">
        <is>
          <t>Commission en douane / Transit</t>
        </is>
      </c>
      <c r="D11" s="11" t="inlineStr">
        <is>
          <t>A VERIFIER</t>
        </is>
      </c>
      <c r="E11" s="9" t="inlineStr">
        <is>
          <t>97400</t>
        </is>
      </c>
      <c r="F11" s="9" t="inlineStr">
        <is>
          <t>Saint-Denis</t>
        </is>
      </c>
      <c r="G11" s="12" t="inlineStr">
        <is>
          <t>A VERIFIER</t>
        </is>
      </c>
      <c r="H11" s="9" t="inlineStr">
        <is>
          <t>A VERIFIER</t>
        </is>
      </c>
      <c r="I11" s="11" t="inlineStr">
        <is>
          <t>A VERIFIER</t>
        </is>
      </c>
      <c r="J11" s="9" t="inlineStr">
        <is>
          <t>A COMPLETER</t>
        </is>
      </c>
      <c r="K11" s="9" t="inlineStr">
        <is>
          <t>A COMPLETER</t>
        </is>
      </c>
      <c r="L11" s="9" t="inlineStr">
        <is>
          <t>Dirigeant / DG</t>
        </is>
      </c>
      <c r="M11" s="12" t="inlineStr">
        <is>
          <t>A COMPLETER</t>
        </is>
      </c>
      <c r="N11" s="9" t="inlineStr">
        <is>
          <t>A COMPLETER</t>
        </is>
      </c>
      <c r="O11" s="9" t="inlineStr">
        <is>
          <t>A COMPLETER</t>
        </is>
      </c>
      <c r="P11" s="11" t="inlineStr">
        <is>
          <t>Agent de transit / Déclarant douane jr</t>
        </is>
      </c>
      <c r="Q11" s="9" t="inlineStr">
        <is>
          <t>P1</t>
        </is>
      </c>
      <c r="R11" s="9" t="inlineStr">
        <is>
          <t>Source annuaire</t>
        </is>
      </c>
      <c r="S11" s="13" t="inlineStr">
        <is>
          <t>Ouvrir la fiche entreprise</t>
        </is>
      </c>
      <c r="T11" s="9" t="inlineStr">
        <is>
          <t>A contacter</t>
        </is>
      </c>
      <c r="U11" s="14" t="inlineStr"/>
      <c r="V11" s="11" t="inlineStr">
        <is>
          <t>Filiale groupe SOMATRANS — commissionnaire en douane.</t>
        </is>
      </c>
    </row>
    <row r="12" ht="46" customHeight="1">
      <c r="A12" s="15" t="n">
        <v>8</v>
      </c>
      <c r="B12" s="16" t="inlineStr">
        <is>
          <t>SFT GONDRAND FRÈRES – agence Réunion</t>
        </is>
      </c>
      <c r="C12" s="15" t="inlineStr">
        <is>
          <t>Transit international / Douane</t>
        </is>
      </c>
      <c r="D12" s="17" t="inlineStr">
        <is>
          <t>A VERIFIER</t>
        </is>
      </c>
      <c r="E12" s="15" t="inlineStr">
        <is>
          <t>97400</t>
        </is>
      </c>
      <c r="F12" s="15" t="inlineStr">
        <is>
          <t>Saint-Denis</t>
        </is>
      </c>
      <c r="G12" s="18" t="inlineStr">
        <is>
          <t>A VERIFIER</t>
        </is>
      </c>
      <c r="H12" s="15" t="inlineStr">
        <is>
          <t>A VERIFIER</t>
        </is>
      </c>
      <c r="I12" s="17" t="inlineStr">
        <is>
          <t>A VERIFIER</t>
        </is>
      </c>
      <c r="J12" s="15" t="inlineStr">
        <is>
          <t>A COMPLETER</t>
        </is>
      </c>
      <c r="K12" s="15" t="inlineStr">
        <is>
          <t>A COMPLETER</t>
        </is>
      </c>
      <c r="L12" s="15" t="inlineStr">
        <is>
          <t>Dirigeant / DG</t>
        </is>
      </c>
      <c r="M12" s="18" t="inlineStr">
        <is>
          <t>A COMPLETER</t>
        </is>
      </c>
      <c r="N12" s="15" t="inlineStr">
        <is>
          <t>A COMPLETER</t>
        </is>
      </c>
      <c r="O12" s="15" t="inlineStr">
        <is>
          <t>A COMPLETER</t>
        </is>
      </c>
      <c r="P12" s="17" t="inlineStr">
        <is>
          <t>Agent de transit / Déclarant douane jr</t>
        </is>
      </c>
      <c r="Q12" s="15" t="inlineStr">
        <is>
          <t>P2</t>
        </is>
      </c>
      <c r="R12" s="15" t="inlineStr">
        <is>
          <t>Source annuaire</t>
        </is>
      </c>
      <c r="S12" s="19" t="inlineStr">
        <is>
          <t>Ouvrir la fiche entreprise</t>
        </is>
      </c>
      <c r="T12" s="15" t="inlineStr">
        <is>
          <t>A contacter</t>
        </is>
      </c>
      <c r="U12" s="20" t="inlineStr"/>
      <c r="V12" s="17" t="inlineStr">
        <is>
          <t>Groupe national, process RH structuré : viser le siège + le responsable d'agence.</t>
        </is>
      </c>
    </row>
    <row r="13" ht="46" customHeight="1">
      <c r="A13" s="9" t="n">
        <v>9</v>
      </c>
      <c r="B13" s="10" t="inlineStr">
        <is>
          <t>KOB DISTRIBUTION</t>
        </is>
      </c>
      <c r="C13" s="9" t="inlineStr">
        <is>
          <t>Grossiste alimentaire + entrepôt</t>
        </is>
      </c>
      <c r="D13" s="11" t="inlineStr">
        <is>
          <t>10 rue Charles Gounod</t>
        </is>
      </c>
      <c r="E13" s="9" t="inlineStr">
        <is>
          <t>97400</t>
        </is>
      </c>
      <c r="F13" s="9" t="inlineStr">
        <is>
          <t>Saint-Denis</t>
        </is>
      </c>
      <c r="G13" s="12" t="inlineStr">
        <is>
          <t>A VERIFIER</t>
        </is>
      </c>
      <c r="H13" s="9" t="inlineStr">
        <is>
          <t>A VERIFIER</t>
        </is>
      </c>
      <c r="I13" s="11" t="inlineStr">
        <is>
          <t>A VERIFIER</t>
        </is>
      </c>
      <c r="J13" s="9" t="inlineStr">
        <is>
          <t>A COMPLETER</t>
        </is>
      </c>
      <c r="K13" s="9" t="inlineStr">
        <is>
          <t>A COMPLETER</t>
        </is>
      </c>
      <c r="L13" s="9" t="inlineStr">
        <is>
          <t>Dirigeant / DG</t>
        </is>
      </c>
      <c r="M13" s="12" t="inlineStr">
        <is>
          <t>A COMPLETER</t>
        </is>
      </c>
      <c r="N13" s="9" t="inlineStr">
        <is>
          <t>A COMPLETER</t>
        </is>
      </c>
      <c r="O13" s="9" t="inlineStr">
        <is>
          <t>A COMPLETER</t>
        </is>
      </c>
      <c r="P13" s="11" t="inlineStr">
        <is>
          <t>Opérateur logistique / Prépa. commandes</t>
        </is>
      </c>
      <c r="Q13" s="9" t="inlineStr">
        <is>
          <t>P1</t>
        </is>
      </c>
      <c r="R13" s="9" t="inlineStr">
        <is>
          <t>Source annuaire</t>
        </is>
      </c>
      <c r="S13" s="13" t="inlineStr">
        <is>
          <t>Ouvrir la fiche entreprise</t>
        </is>
      </c>
      <c r="T13" s="9" t="inlineStr">
        <is>
          <t>A contacter</t>
        </is>
      </c>
      <c r="U13" s="14" t="inlineStr"/>
      <c r="V13" s="11" t="inlineStr">
        <is>
          <t>Entrepôt de stockage, clientèle CHR : fort besoin de préparation de commandes.</t>
        </is>
      </c>
    </row>
    <row r="14" ht="46" customHeight="1">
      <c r="A14" s="15" t="n">
        <v>10</v>
      </c>
      <c r="B14" s="16" t="inlineStr">
        <is>
          <t>974 EMBALLAGE</t>
        </is>
      </c>
      <c r="C14" s="15" t="inlineStr">
        <is>
          <t>Négoce emballage / Dépôt</t>
        </is>
      </c>
      <c r="D14" s="17" t="inlineStr">
        <is>
          <t>ZI du Chaudron, 28 rue Gabriel de Kerveguen</t>
        </is>
      </c>
      <c r="E14" s="15" t="inlineStr">
        <is>
          <t>97490</t>
        </is>
      </c>
      <c r="F14" s="15" t="inlineStr">
        <is>
          <t>Sainte-Clotilde (Saint-Denis)</t>
        </is>
      </c>
      <c r="G14" s="18" t="inlineStr">
        <is>
          <t>A VERIFIER</t>
        </is>
      </c>
      <c r="H14" s="15" t="inlineStr">
        <is>
          <t>A VERIFIER</t>
        </is>
      </c>
      <c r="I14" s="17" t="inlineStr">
        <is>
          <t>A VERIFIER</t>
        </is>
      </c>
      <c r="J14" s="15" t="inlineStr">
        <is>
          <t>A COMPLETER</t>
        </is>
      </c>
      <c r="K14" s="15" t="inlineStr">
        <is>
          <t>A COMPLETER</t>
        </is>
      </c>
      <c r="L14" s="15" t="inlineStr">
        <is>
          <t>Dirigeant / DG</t>
        </is>
      </c>
      <c r="M14" s="18" t="inlineStr">
        <is>
          <t>A COMPLETER</t>
        </is>
      </c>
      <c r="N14" s="15" t="inlineStr">
        <is>
          <t>A COMPLETER</t>
        </is>
      </c>
      <c r="O14" s="15" t="inlineStr">
        <is>
          <t>A COMPLETER</t>
        </is>
      </c>
      <c r="P14" s="17" t="inlineStr">
        <is>
          <t>Magasinier / Gestion des stocks</t>
        </is>
      </c>
      <c r="Q14" s="15" t="inlineStr">
        <is>
          <t>P2</t>
        </is>
      </c>
      <c r="R14" s="15" t="inlineStr">
        <is>
          <t>Source annuaire</t>
        </is>
      </c>
      <c r="S14" s="19" t="inlineStr">
        <is>
          <t>Ouvrir la fiche entreprise</t>
        </is>
      </c>
      <c r="T14" s="15" t="inlineStr">
        <is>
          <t>A contacter</t>
        </is>
      </c>
      <c r="U14" s="20" t="inlineStr"/>
      <c r="V14" s="17" t="inlineStr">
        <is>
          <t>Emballages et fournitures pour la restauration.</t>
        </is>
      </c>
    </row>
    <row r="15" ht="46" customHeight="1">
      <c r="A15" s="9" t="n">
        <v>11</v>
      </c>
      <c r="B15" s="10" t="inlineStr">
        <is>
          <t>ADELIS</t>
        </is>
      </c>
      <c r="C15" s="9" t="inlineStr">
        <is>
          <t>Distribution froid négatif / Livraison</t>
        </is>
      </c>
      <c r="D15" s="11" t="inlineStr">
        <is>
          <t>A VERIFIER</t>
        </is>
      </c>
      <c r="E15" s="9" t="inlineStr">
        <is>
          <t>97400</t>
        </is>
      </c>
      <c r="F15" s="9" t="inlineStr">
        <is>
          <t>Saint-Denis</t>
        </is>
      </c>
      <c r="G15" s="12" t="inlineStr">
        <is>
          <t>A VERIFIER</t>
        </is>
      </c>
      <c r="H15" s="9" t="inlineStr">
        <is>
          <t>A VERIFIER</t>
        </is>
      </c>
      <c r="I15" s="11" t="inlineStr">
        <is>
          <t>A VERIFIER</t>
        </is>
      </c>
      <c r="J15" s="9" t="inlineStr">
        <is>
          <t>A COMPLETER</t>
        </is>
      </c>
      <c r="K15" s="9" t="inlineStr">
        <is>
          <t>A COMPLETER</t>
        </is>
      </c>
      <c r="L15" s="9" t="inlineStr">
        <is>
          <t>Dirigeant / DG</t>
        </is>
      </c>
      <c r="M15" s="12" t="inlineStr">
        <is>
          <t>A COMPLETER</t>
        </is>
      </c>
      <c r="N15" s="9" t="inlineStr">
        <is>
          <t>A COMPLETER</t>
        </is>
      </c>
      <c r="O15" s="9" t="inlineStr">
        <is>
          <t>A COMPLETER</t>
        </is>
      </c>
      <c r="P15" s="11" t="inlineStr">
        <is>
          <t>Opérateur logistique / Prépa. commandes</t>
        </is>
      </c>
      <c r="Q15" s="9" t="inlineStr">
        <is>
          <t>P2</t>
        </is>
      </c>
      <c r="R15" s="9" t="inlineStr">
        <is>
          <t>Source annuaire</t>
        </is>
      </c>
      <c r="S15" s="13" t="inlineStr">
        <is>
          <t>Ouvrir la fiche entreprise</t>
        </is>
      </c>
      <c r="T15" s="9" t="inlineStr">
        <is>
          <t>A contacter</t>
        </is>
      </c>
      <c r="U15" s="14" t="inlineStr"/>
      <c r="V15" s="11" t="inlineStr">
        <is>
          <t>Glaces artisanales, livraison sur toute l'île : logistique du froid.</t>
        </is>
      </c>
    </row>
    <row r="16" ht="46" customHeight="1">
      <c r="A16" s="15" t="n">
        <v>12</v>
      </c>
      <c r="B16" s="16" t="inlineStr">
        <is>
          <t>SODIREL</t>
        </is>
      </c>
      <c r="C16" s="15" t="inlineStr">
        <is>
          <t>Distribution / Logistique de marques</t>
        </is>
      </c>
      <c r="D16" s="17" t="inlineStr">
        <is>
          <t>A VERIFIER</t>
        </is>
      </c>
      <c r="E16" s="15" t="inlineStr">
        <is>
          <t>97400</t>
        </is>
      </c>
      <c r="F16" s="15" t="inlineStr">
        <is>
          <t>Saint-Denis</t>
        </is>
      </c>
      <c r="G16" s="18" t="inlineStr">
        <is>
          <t>A VERIFIER</t>
        </is>
      </c>
      <c r="H16" s="15" t="inlineStr">
        <is>
          <t>A VERIFIER</t>
        </is>
      </c>
      <c r="I16" s="17" t="inlineStr">
        <is>
          <t>A VERIFIER</t>
        </is>
      </c>
      <c r="J16" s="15" t="inlineStr">
        <is>
          <t>A COMPLETER</t>
        </is>
      </c>
      <c r="K16" s="15" t="inlineStr">
        <is>
          <t>A COMPLETER</t>
        </is>
      </c>
      <c r="L16" s="15" t="inlineStr">
        <is>
          <t>Dirigeant / DG</t>
        </is>
      </c>
      <c r="M16" s="18" t="inlineStr">
        <is>
          <t>A COMPLETER</t>
        </is>
      </c>
      <c r="N16" s="15" t="inlineStr">
        <is>
          <t>A COMPLETER</t>
        </is>
      </c>
      <c r="O16" s="15" t="inlineStr">
        <is>
          <t>A COMPLETER</t>
        </is>
      </c>
      <c r="P16" s="17" t="inlineStr">
        <is>
          <t>Opérateur logistique / Prépa. commandes</t>
        </is>
      </c>
      <c r="Q16" s="15" t="inlineStr">
        <is>
          <t>P2</t>
        </is>
      </c>
      <c r="R16" s="15" t="inlineStr">
        <is>
          <t>Source annuaire</t>
        </is>
      </c>
      <c r="S16" s="19" t="inlineStr">
        <is>
          <t>Ouvrir la fiche entreprise</t>
        </is>
      </c>
      <c r="T16" s="15" t="inlineStr">
        <is>
          <t>A contacter</t>
        </is>
      </c>
      <c r="U16" s="20" t="inlineStr"/>
      <c r="V16" s="17" t="inlineStr">
        <is>
          <t>Distributeur multimarques, logistique intégrée.</t>
        </is>
      </c>
    </row>
    <row r="17" ht="46" customHeight="1">
      <c r="A17" s="9" t="n">
        <v>13</v>
      </c>
      <c r="B17" s="10" t="inlineStr">
        <is>
          <t>RAVATE PROFESSIONNEL</t>
        </is>
      </c>
      <c r="C17" s="9" t="inlineStr">
        <is>
          <t>Négoce matériaux + plateforme</t>
        </is>
      </c>
      <c r="D17" s="11" t="inlineStr">
        <is>
          <t>A VERIFIER</t>
        </is>
      </c>
      <c r="E17" s="9" t="inlineStr">
        <is>
          <t>97400</t>
        </is>
      </c>
      <c r="F17" s="9" t="inlineStr">
        <is>
          <t>Saint-Denis</t>
        </is>
      </c>
      <c r="G17" s="12" t="inlineStr">
        <is>
          <t>A VERIFIER</t>
        </is>
      </c>
      <c r="H17" s="9" t="inlineStr">
        <is>
          <t>A VERIFIER</t>
        </is>
      </c>
      <c r="I17" s="11" t="inlineStr">
        <is>
          <t>A VERIFIER</t>
        </is>
      </c>
      <c r="J17" s="9" t="inlineStr">
        <is>
          <t>A COMPLETER</t>
        </is>
      </c>
      <c r="K17" s="9" t="inlineStr">
        <is>
          <t>A COMPLETER</t>
        </is>
      </c>
      <c r="L17" s="9" t="inlineStr">
        <is>
          <t>Dirigeant / DG</t>
        </is>
      </c>
      <c r="M17" s="12" t="inlineStr">
        <is>
          <t>A COMPLETER</t>
        </is>
      </c>
      <c r="N17" s="9" t="inlineStr">
        <is>
          <t>A COMPLETER</t>
        </is>
      </c>
      <c r="O17" s="9" t="inlineStr">
        <is>
          <t>A COMPLETER</t>
        </is>
      </c>
      <c r="P17" s="11" t="inlineStr">
        <is>
          <t>Magasinier / Gestion des stocks</t>
        </is>
      </c>
      <c r="Q17" s="9" t="inlineStr">
        <is>
          <t>P1</t>
        </is>
      </c>
      <c r="R17" s="9" t="inlineStr">
        <is>
          <t>A vérifier</t>
        </is>
      </c>
      <c r="S17" s="13" t="inlineStr">
        <is>
          <t>Ouvrir la fiche entreprise</t>
        </is>
      </c>
      <c r="T17" s="9" t="inlineStr">
        <is>
          <t>A contacter</t>
        </is>
      </c>
      <c r="U17" s="14" t="inlineStr"/>
      <c r="V17" s="11" t="inlineStr">
        <is>
          <t>Filiale du groupe Ravate (siège Saint-Denis). Gros volumes = magasiniers/caristes.</t>
        </is>
      </c>
    </row>
    <row r="18" ht="46" customHeight="1">
      <c r="A18" s="15" t="n">
        <v>14</v>
      </c>
      <c r="B18" s="16" t="inlineStr">
        <is>
          <t>CERP RÉUNION (GROUPE SIPR)</t>
        </is>
      </c>
      <c r="C18" s="15" t="inlineStr">
        <is>
          <t>Répartition pharmaceutique / Dépositaire</t>
        </is>
      </c>
      <c r="D18" s="17" t="inlineStr">
        <is>
          <t>A VERIFIER</t>
        </is>
      </c>
      <c r="E18" s="15" t="inlineStr">
        <is>
          <t>97400</t>
        </is>
      </c>
      <c r="F18" s="15" t="inlineStr">
        <is>
          <t>Saint-Denis</t>
        </is>
      </c>
      <c r="G18" s="18" t="inlineStr">
        <is>
          <t>A VERIFIER</t>
        </is>
      </c>
      <c r="H18" s="15" t="inlineStr">
        <is>
          <t>A VERIFIER</t>
        </is>
      </c>
      <c r="I18" s="17" t="inlineStr">
        <is>
          <t>A VERIFIER</t>
        </is>
      </c>
      <c r="J18" s="15" t="inlineStr">
        <is>
          <t>A COMPLETER</t>
        </is>
      </c>
      <c r="K18" s="15" t="inlineStr">
        <is>
          <t>A COMPLETER</t>
        </is>
      </c>
      <c r="L18" s="15" t="inlineStr">
        <is>
          <t>Dirigeant / DG</t>
        </is>
      </c>
      <c r="M18" s="18" t="inlineStr">
        <is>
          <t>A COMPLETER</t>
        </is>
      </c>
      <c r="N18" s="15" t="inlineStr">
        <is>
          <t>A COMPLETER</t>
        </is>
      </c>
      <c r="O18" s="19" t="inlineStr">
        <is>
          <t>https://www.cerp-sipr.com/cerp/</t>
        </is>
      </c>
      <c r="P18" s="17" t="inlineStr">
        <is>
          <t>Opérateur logistique / Prépa. commandes</t>
        </is>
      </c>
      <c r="Q18" s="15" t="inlineStr">
        <is>
          <t>P1</t>
        </is>
      </c>
      <c r="R18" s="15" t="inlineStr">
        <is>
          <t>Source annuaire</t>
        </is>
      </c>
      <c r="S18" s="19" t="inlineStr">
        <is>
          <t>Ouvrir la fiche entreprise</t>
        </is>
      </c>
      <c r="T18" s="15" t="inlineStr">
        <is>
          <t>A contacter</t>
        </is>
      </c>
      <c r="U18" s="20" t="inlineStr"/>
      <c r="V18" s="17" t="inlineStr">
        <is>
          <t>Importateur-grossiste-répartiteur en produits pharmaceutiques. Groupe SIPR (CERP-Réunion, MAD-SIPR, Plurimed, Dicophar), 3 sites : Saint-Denis, Sainte-Marie, Saint-Pierre. Préparation de commandes sous Bonnes Pratiques de Distribution : cadre très formateur, gros volumes quotidiens.</t>
        </is>
      </c>
    </row>
    <row r="19" ht="46" customHeight="1">
      <c r="A19" s="9" t="n">
        <v>15</v>
      </c>
      <c r="B19" s="10" t="inlineStr">
        <is>
          <t>CGF NORD</t>
        </is>
      </c>
      <c r="C19" s="9" t="inlineStr">
        <is>
          <t>Grossiste fruits &amp; légumes / Bio</t>
        </is>
      </c>
      <c r="D19" s="11" t="inlineStr">
        <is>
          <t>91 rue Foch – Zone Foucherolles, Sainte-Clotilde</t>
        </is>
      </c>
      <c r="E19" s="9" t="inlineStr">
        <is>
          <t>97490</t>
        </is>
      </c>
      <c r="F19" s="9" t="inlineStr">
        <is>
          <t>Sainte-Clotilde (Saint-Denis)</t>
        </is>
      </c>
      <c r="G19" s="12" t="inlineStr">
        <is>
          <t>A VERIFIER</t>
        </is>
      </c>
      <c r="H19" s="9" t="inlineStr">
        <is>
          <t>A VERIFIER</t>
        </is>
      </c>
      <c r="I19" s="11" t="inlineStr">
        <is>
          <t>A VERIFIER</t>
        </is>
      </c>
      <c r="J19" s="9" t="inlineStr">
        <is>
          <t>A COMPLETER</t>
        </is>
      </c>
      <c r="K19" s="9" t="inlineStr">
        <is>
          <t>A COMPLETER</t>
        </is>
      </c>
      <c r="L19" s="9" t="inlineStr">
        <is>
          <t>Dirigeant / DG</t>
        </is>
      </c>
      <c r="M19" s="12" t="inlineStr">
        <is>
          <t>A COMPLETER</t>
        </is>
      </c>
      <c r="N19" s="9" t="inlineStr">
        <is>
          <t>A COMPLETER</t>
        </is>
      </c>
      <c r="O19" s="9" t="inlineStr">
        <is>
          <t>A COMPLETER</t>
        </is>
      </c>
      <c r="P19" s="11" t="inlineStr">
        <is>
          <t>Opérateur logistique / Prépa. commandes</t>
        </is>
      </c>
      <c r="Q19" s="9" t="inlineStr">
        <is>
          <t>P1</t>
        </is>
      </c>
      <c r="R19" s="9" t="inlineStr">
        <is>
          <t>Source annuaire</t>
        </is>
      </c>
      <c r="S19" s="13" t="inlineStr">
        <is>
          <t>Ouvrir la fiche entreprise</t>
        </is>
      </c>
      <c r="T19" s="9" t="inlineStr">
        <is>
          <t>A contacter</t>
        </is>
      </c>
      <c r="U19" s="14" t="inlineStr"/>
      <c r="V19" s="11" t="inlineStr">
        <is>
          <t>Distribution en gros de fruits, légumes et produits bio : préparation de commandes quotidienne et gestion du froid. Rotation forte = besoin récurrent de préparateurs.</t>
        </is>
      </c>
    </row>
    <row r="20" ht="46" customHeight="1">
      <c r="A20" s="15" t="n">
        <v>16</v>
      </c>
      <c r="B20" s="16" t="inlineStr">
        <is>
          <t>SOMADIS – SOCIÉTÉ MANES DISTRIBUTION</t>
        </is>
      </c>
      <c r="C20" s="15" t="inlineStr">
        <is>
          <t>Commerce de gros / Entrepôt</t>
        </is>
      </c>
      <c r="D20" s="17" t="inlineStr">
        <is>
          <t>76 boulevard du Chaudron</t>
        </is>
      </c>
      <c r="E20" s="15" t="inlineStr">
        <is>
          <t>97490</t>
        </is>
      </c>
      <c r="F20" s="15" t="inlineStr">
        <is>
          <t>Sainte-Clotilde (Saint-Denis)</t>
        </is>
      </c>
      <c r="G20" s="18" t="inlineStr">
        <is>
          <t>A VERIFIER</t>
        </is>
      </c>
      <c r="H20" s="15" t="inlineStr">
        <is>
          <t>A VERIFIER</t>
        </is>
      </c>
      <c r="I20" s="17" t="inlineStr">
        <is>
          <t>A VERIFIER</t>
        </is>
      </c>
      <c r="J20" s="15" t="inlineStr">
        <is>
          <t>A COMPLETER</t>
        </is>
      </c>
      <c r="K20" s="15" t="inlineStr">
        <is>
          <t>A COMPLETER</t>
        </is>
      </c>
      <c r="L20" s="15" t="inlineStr">
        <is>
          <t>Dirigeant / DG</t>
        </is>
      </c>
      <c r="M20" s="18" t="inlineStr">
        <is>
          <t>A COMPLETER</t>
        </is>
      </c>
      <c r="N20" s="15" t="inlineStr">
        <is>
          <t>A COMPLETER</t>
        </is>
      </c>
      <c r="O20" s="15" t="inlineStr">
        <is>
          <t>A COMPLETER</t>
        </is>
      </c>
      <c r="P20" s="17" t="inlineStr">
        <is>
          <t>Magasinier / Gestion des stocks</t>
        </is>
      </c>
      <c r="Q20" s="15" t="inlineStr">
        <is>
          <t>P2</t>
        </is>
      </c>
      <c r="R20" s="15" t="inlineStr">
        <is>
          <t>Source annuaire</t>
        </is>
      </c>
      <c r="S20" s="19" t="inlineStr">
        <is>
          <t>Ouvrir la fiche entreprise</t>
        </is>
      </c>
      <c r="T20" s="15" t="inlineStr">
        <is>
          <t>A contacter</t>
        </is>
      </c>
      <c r="U20" s="20" t="inlineStr"/>
      <c r="V20" s="17" t="inlineStr">
        <is>
          <t>Commerce de gros sur la zone du Chaudron : réception, stock, expédition.</t>
        </is>
      </c>
    </row>
    <row r="21" ht="46" customHeight="1">
      <c r="A21" s="9" t="n">
        <v>17</v>
      </c>
      <c r="B21" s="10" t="inlineStr">
        <is>
          <t>DEMECO CHEUNG DÉMÉNAGEMENTS</t>
        </is>
      </c>
      <c r="C21" s="9" t="inlineStr">
        <is>
          <t>Déménagement / Garde-meuble</t>
        </is>
      </c>
      <c r="D21" s="11" t="inlineStr">
        <is>
          <t>A VERIFIER</t>
        </is>
      </c>
      <c r="E21" s="9" t="inlineStr">
        <is>
          <t>97400</t>
        </is>
      </c>
      <c r="F21" s="9" t="inlineStr">
        <is>
          <t>Saint-Denis</t>
        </is>
      </c>
      <c r="G21" s="12" t="inlineStr">
        <is>
          <t>A VERIFIER</t>
        </is>
      </c>
      <c r="H21" s="9" t="inlineStr">
        <is>
          <t>A VERIFIER</t>
        </is>
      </c>
      <c r="I21" s="11" t="inlineStr">
        <is>
          <t>A VERIFIER</t>
        </is>
      </c>
      <c r="J21" s="9" t="inlineStr">
        <is>
          <t>A COMPLETER</t>
        </is>
      </c>
      <c r="K21" s="9" t="inlineStr">
        <is>
          <t>A COMPLETER</t>
        </is>
      </c>
      <c r="L21" s="9" t="inlineStr">
        <is>
          <t>Dirigeant / DG</t>
        </is>
      </c>
      <c r="M21" s="12" t="inlineStr">
        <is>
          <t>A COMPLETER</t>
        </is>
      </c>
      <c r="N21" s="9" t="inlineStr">
        <is>
          <t>A COMPLETER</t>
        </is>
      </c>
      <c r="O21" s="9" t="inlineStr">
        <is>
          <t>A COMPLETER</t>
        </is>
      </c>
      <c r="P21" s="11" t="inlineStr">
        <is>
          <t>Magasinier / Gestion des stocks</t>
        </is>
      </c>
      <c r="Q21" s="9" t="inlineStr">
        <is>
          <t>P2</t>
        </is>
      </c>
      <c r="R21" s="9" t="inlineStr">
        <is>
          <t>Source annuaire</t>
        </is>
      </c>
      <c r="S21" s="13" t="inlineStr">
        <is>
          <t>Ouvrir la fiche entreprise</t>
        </is>
      </c>
      <c r="T21" s="9" t="inlineStr">
        <is>
          <t>A contacter</t>
        </is>
      </c>
      <c r="U21" s="14" t="inlineStr"/>
      <c r="V21" s="11" t="inlineStr">
        <is>
          <t>Déménagement local, national et international, garde-meuble et groupage maritime. Manutention, inventaire et gestion de stock : bon terrain pour un profil magasinier.</t>
        </is>
      </c>
    </row>
  </sheetData>
  <autoFilter ref="A4:V21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O8" r:id="rId4"/>
    <hyperlink xmlns:r="http://schemas.openxmlformats.org/officeDocument/2006/relationships" ref="S8" r:id="rId5"/>
    <hyperlink xmlns:r="http://schemas.openxmlformats.org/officeDocument/2006/relationships" ref="S9" r:id="rId6"/>
    <hyperlink xmlns:r="http://schemas.openxmlformats.org/officeDocument/2006/relationships" ref="S10" r:id="rId7"/>
    <hyperlink xmlns:r="http://schemas.openxmlformats.org/officeDocument/2006/relationships" ref="S11" r:id="rId8"/>
    <hyperlink xmlns:r="http://schemas.openxmlformats.org/officeDocument/2006/relationships" ref="S12" r:id="rId9"/>
    <hyperlink xmlns:r="http://schemas.openxmlformats.org/officeDocument/2006/relationships" ref="S13" r:id="rId10"/>
    <hyperlink xmlns:r="http://schemas.openxmlformats.org/officeDocument/2006/relationships" ref="S14" r:id="rId11"/>
    <hyperlink xmlns:r="http://schemas.openxmlformats.org/officeDocument/2006/relationships" ref="S15" r:id="rId12"/>
    <hyperlink xmlns:r="http://schemas.openxmlformats.org/officeDocument/2006/relationships" ref="S16" r:id="rId13"/>
    <hyperlink xmlns:r="http://schemas.openxmlformats.org/officeDocument/2006/relationships" ref="S17" r:id="rId14"/>
    <hyperlink xmlns:r="http://schemas.openxmlformats.org/officeDocument/2006/relationships" ref="O18" r:id="rId15"/>
    <hyperlink xmlns:r="http://schemas.openxmlformats.org/officeDocument/2006/relationships" ref="S18" r:id="rId16"/>
    <hyperlink xmlns:r="http://schemas.openxmlformats.org/officeDocument/2006/relationships" ref="S19" r:id="rId17"/>
    <hyperlink xmlns:r="http://schemas.openxmlformats.org/officeDocument/2006/relationships" ref="S20" r:id="rId18"/>
    <hyperlink xmlns:r="http://schemas.openxmlformats.org/officeDocument/2006/relationships" ref="S2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SAINTE-MARIE</t>
        </is>
      </c>
    </row>
    <row r="2" ht="16" customHeight="1">
      <c r="A2" s="2" t="inlineStr">
        <is>
          <t>Sainte-Marie – zone aéroportuaire Roland Garros, Duparc, Bel-Air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SIFA LOGISTICS – agence Réunion</t>
        </is>
      </c>
      <c r="C5" s="9" t="inlineStr">
        <is>
          <t>Transit aérien &amp; maritime / Entrepôt</t>
        </is>
      </c>
      <c r="D5" s="11" t="inlineStr">
        <is>
          <t>ZA de Gillot – Aéroport Roland Garros</t>
        </is>
      </c>
      <c r="E5" s="9" t="inlineStr">
        <is>
          <t>97438</t>
        </is>
      </c>
      <c r="F5" s="9" t="inlineStr">
        <is>
          <t>Sainte-Marie</t>
        </is>
      </c>
      <c r="G5" s="12" t="inlineStr">
        <is>
          <t>A VERIFIER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13" t="inlineStr">
        <is>
          <t>https://sifalogistics.com/nos-agences/sifa-reunion/</t>
        </is>
      </c>
      <c r="P5" s="11" t="inlineStr">
        <is>
          <t>Agent de transit / Déclarant douane jr</t>
        </is>
      </c>
      <c r="Q5" s="9" t="inlineStr">
        <is>
          <t>P1</t>
        </is>
      </c>
      <c r="R5" s="9" t="inlineStr">
        <is>
          <t>Source annuaire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Entrepôt sur zone aéroportuaire. Ouv. lun-jeu 8h-16h30, ven 8h-16h.</t>
        </is>
      </c>
    </row>
    <row r="6" ht="46" customHeight="1">
      <c r="A6" s="15" t="n">
        <v>2</v>
      </c>
      <c r="B6" s="16" t="inlineStr">
        <is>
          <t>DSG TRANSIT REPIQUET</t>
        </is>
      </c>
      <c r="C6" s="15" t="inlineStr">
        <is>
          <t>Transit aérien</t>
        </is>
      </c>
      <c r="D6" s="17" t="inlineStr">
        <is>
          <t>Parc d'activités aéroportuaire, 44 rue Hélène Boucher – îlot 1</t>
        </is>
      </c>
      <c r="E6" s="15" t="inlineStr">
        <is>
          <t>97438</t>
        </is>
      </c>
      <c r="F6" s="15" t="inlineStr">
        <is>
          <t>Sainte-Marie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Agent de transit / Déclarant douane jr</t>
        </is>
      </c>
      <c r="Q6" s="15" t="inlineStr">
        <is>
          <t>P1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>
        <is>
          <t>Agence air.</t>
        </is>
      </c>
    </row>
    <row r="7" ht="46" customHeight="1">
      <c r="A7" s="9" t="n">
        <v>3</v>
      </c>
      <c r="B7" s="10" t="inlineStr">
        <is>
          <t>SNT – SOCIÉTÉ NOUVELLE DE TRANSPORT</t>
        </is>
      </c>
      <c r="C7" s="9" t="inlineStr">
        <is>
          <t>Transit &amp; Logistique</t>
        </is>
      </c>
      <c r="D7" s="11" t="inlineStr">
        <is>
          <t>Gare de fret aérien (2e étage) – Aéroport Roland Garros</t>
        </is>
      </c>
      <c r="E7" s="9" t="inlineStr">
        <is>
          <t>97438</t>
        </is>
      </c>
      <c r="F7" s="9" t="inlineStr">
        <is>
          <t>Sainte-Marie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Agent de transit / Déclarant douane jr</t>
        </is>
      </c>
      <c r="Q7" s="9" t="inlineStr">
        <is>
          <t>P1</t>
        </is>
      </c>
      <c r="R7" s="9" t="inlineStr">
        <is>
          <t>Source annuaire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Sur la plateforme fret.</t>
        </is>
      </c>
    </row>
    <row r="8" ht="46" customHeight="1">
      <c r="A8" s="15" t="n">
        <v>4</v>
      </c>
      <c r="B8" s="16" t="inlineStr">
        <is>
          <t>T-TRAM (TRANSIT TRANSPORTS ROUTIERS AÉRIENS ET MARITIMES)</t>
        </is>
      </c>
      <c r="C8" s="15" t="inlineStr">
        <is>
          <t>Transit multimodal</t>
        </is>
      </c>
      <c r="D8" s="17" t="inlineStr">
        <is>
          <t>Aérogare Fret Roland Garros</t>
        </is>
      </c>
      <c r="E8" s="15" t="inlineStr">
        <is>
          <t>97438</t>
        </is>
      </c>
      <c r="F8" s="15" t="inlineStr">
        <is>
          <t>Sainte-Marie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5" t="inlineStr">
        <is>
          <t>A COMPLETER</t>
        </is>
      </c>
      <c r="P8" s="17" t="inlineStr">
        <is>
          <t>Agent de transit / Déclarant douane jr</t>
        </is>
      </c>
      <c r="Q8" s="15" t="inlineStr">
        <is>
          <t>P1</t>
        </is>
      </c>
      <c r="R8" s="15" t="inlineStr">
        <is>
          <t>Source annuaire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>
        <is>
          <t>Multimodal — bon terrain pour un apprenti agent de transit.</t>
        </is>
      </c>
    </row>
    <row r="9" ht="46" customHeight="1">
      <c r="A9" s="9" t="n">
        <v>5</v>
      </c>
      <c r="B9" s="10" t="inlineStr">
        <is>
          <t>CHRONOPOST – agence Saint-Denis de La Réunion</t>
        </is>
      </c>
      <c r="C9" s="9" t="inlineStr">
        <is>
          <t>Messagerie express / Colis</t>
        </is>
      </c>
      <c r="D9" s="11" t="inlineStr">
        <is>
          <t>40 rue Hélène Boucher</t>
        </is>
      </c>
      <c r="E9" s="9" t="inlineStr">
        <is>
          <t>97438</t>
        </is>
      </c>
      <c r="F9" s="9" t="inlineStr">
        <is>
          <t>Sainte-Marie</t>
        </is>
      </c>
      <c r="G9" s="12" t="inlineStr">
        <is>
          <t>A VERIFIER</t>
        </is>
      </c>
      <c r="H9" s="9" t="inlineStr">
        <is>
          <t>A VERIFIER</t>
        </is>
      </c>
      <c r="I9" s="11" t="inlineStr">
        <is>
          <t>A VERIFIER</t>
        </is>
      </c>
      <c r="J9" s="9" t="inlineStr">
        <is>
          <t>A COMPLETER</t>
        </is>
      </c>
      <c r="K9" s="9" t="inlineStr">
        <is>
          <t>A COMPLETER</t>
        </is>
      </c>
      <c r="L9" s="9" t="inlineStr">
        <is>
          <t>Dirigeant / DG</t>
        </is>
      </c>
      <c r="M9" s="12" t="inlineStr">
        <is>
          <t>0262 48 34 34</t>
        </is>
      </c>
      <c r="N9" s="9" t="inlineStr">
        <is>
          <t>A COMPLETER</t>
        </is>
      </c>
      <c r="O9" s="9" t="inlineStr">
        <is>
          <t>A COMPLETER</t>
        </is>
      </c>
      <c r="P9" s="11" t="inlineStr">
        <is>
          <t>Agent de quai / Réception-expédition</t>
        </is>
      </c>
      <c r="Q9" s="9" t="inlineStr">
        <is>
          <t>P1</t>
        </is>
      </c>
      <c r="R9" s="9" t="inlineStr">
        <is>
          <t>Source annuaire</t>
        </is>
      </c>
      <c r="S9" s="13" t="inlineStr">
        <is>
          <t>Ouvrir la fiche entreprise</t>
        </is>
      </c>
      <c r="T9" s="9" t="inlineStr">
        <is>
          <t>A contacter</t>
        </is>
      </c>
      <c r="U9" s="14" t="inlineStr"/>
      <c r="V9" s="11" t="inlineStr">
        <is>
          <t>Tél. relevé en annuaire public, à reconfirmer. Horaires : 8h-12h30 / 13h30-17h30, sam 8h30-12h. Tri et quai = poste d'agent de quai en alternance.</t>
        </is>
      </c>
    </row>
    <row r="10" ht="46" customHeight="1">
      <c r="A10" s="15" t="n">
        <v>6</v>
      </c>
      <c r="B10" s="16" t="inlineStr">
        <is>
          <t>DHL INTERNATIONAL RÉUNION</t>
        </is>
      </c>
      <c r="C10" s="15" t="inlineStr">
        <is>
          <t>Messagerie express international</t>
        </is>
      </c>
      <c r="D10" s="17" t="inlineStr">
        <is>
          <t>12 rue Hélène Boucher – ZA Saint-Exupéry, zone aéroportuaire</t>
        </is>
      </c>
      <c r="E10" s="15" t="inlineStr">
        <is>
          <t>97438</t>
        </is>
      </c>
      <c r="F10" s="15" t="inlineStr">
        <is>
          <t>Sainte-Marie</t>
        </is>
      </c>
      <c r="G10" s="18" t="inlineStr">
        <is>
          <t>A VERIFIER</t>
        </is>
      </c>
      <c r="H10" s="15" t="inlineStr">
        <is>
          <t>A VERIFIER</t>
        </is>
      </c>
      <c r="I10" s="17" t="inlineStr">
        <is>
          <t>A VERIFIER</t>
        </is>
      </c>
      <c r="J10" s="15" t="inlineStr">
        <is>
          <t>A COMPLETER</t>
        </is>
      </c>
      <c r="K10" s="15" t="inlineStr">
        <is>
          <t>A COMPLETER</t>
        </is>
      </c>
      <c r="L10" s="15" t="inlineStr">
        <is>
          <t>Dirigeant / DG</t>
        </is>
      </c>
      <c r="M10" s="18" t="inlineStr">
        <is>
          <t>A COMPLETER</t>
        </is>
      </c>
      <c r="N10" s="15" t="inlineStr">
        <is>
          <t>A COMPLETER</t>
        </is>
      </c>
      <c r="O10" s="15" t="inlineStr">
        <is>
          <t>A COMPLETER</t>
        </is>
      </c>
      <c r="P10" s="17" t="inlineStr">
        <is>
          <t>Agent de quai / Réception-expédition</t>
        </is>
      </c>
      <c r="Q10" s="15" t="inlineStr">
        <is>
          <t>P1</t>
        </is>
      </c>
      <c r="R10" s="15" t="inlineStr">
        <is>
          <t>Source annuaire</t>
        </is>
      </c>
      <c r="S10" s="19" t="inlineStr">
        <is>
          <t>Ouvrir la fiche entreprise</t>
        </is>
      </c>
      <c r="T10" s="15" t="inlineStr">
        <is>
          <t>A contacter</t>
        </is>
      </c>
      <c r="U10" s="20" t="inlineStr"/>
      <c r="V10" s="17" t="inlineStr">
        <is>
          <t>Groupe international : passer par le responsable d'agence ET le service RH DOM.</t>
        </is>
      </c>
    </row>
    <row r="11" ht="46" customHeight="1">
      <c r="A11" s="9" t="n">
        <v>7</v>
      </c>
      <c r="B11" s="10" t="inlineStr">
        <is>
          <t>TRANS EXPRESS RÉUNION (TER)</t>
        </is>
      </c>
      <c r="C11" s="9" t="inlineStr">
        <is>
          <t>Affrètement / Organisation de transports</t>
        </is>
      </c>
      <c r="D11" s="11" t="inlineStr">
        <is>
          <t>A VERIFIER</t>
        </is>
      </c>
      <c r="E11" s="9" t="inlineStr">
        <is>
          <t>97438</t>
        </is>
      </c>
      <c r="F11" s="9" t="inlineStr">
        <is>
          <t>Sainte-Marie</t>
        </is>
      </c>
      <c r="G11" s="12" t="inlineStr">
        <is>
          <t>A VERIFIER</t>
        </is>
      </c>
      <c r="H11" s="9" t="inlineStr">
        <is>
          <t>A VERIFIER</t>
        </is>
      </c>
      <c r="I11" s="11" t="inlineStr">
        <is>
          <t>A VERIFIER</t>
        </is>
      </c>
      <c r="J11" s="9" t="inlineStr">
        <is>
          <t>A COMPLETER</t>
        </is>
      </c>
      <c r="K11" s="9" t="inlineStr">
        <is>
          <t>A COMPLETER</t>
        </is>
      </c>
      <c r="L11" s="9" t="inlineStr">
        <is>
          <t>Dirigeant / DG</t>
        </is>
      </c>
      <c r="M11" s="12" t="inlineStr">
        <is>
          <t>A COMPLETER</t>
        </is>
      </c>
      <c r="N11" s="9" t="inlineStr">
        <is>
          <t>A COMPLETER</t>
        </is>
      </c>
      <c r="O11" s="9" t="inlineStr">
        <is>
          <t>A COMPLETER</t>
        </is>
      </c>
      <c r="P11" s="11" t="inlineStr">
        <is>
          <t>Agent de quai / Réception-expédition</t>
        </is>
      </c>
      <c r="Q11" s="9" t="inlineStr">
        <is>
          <t>P1</t>
        </is>
      </c>
      <c r="R11" s="9" t="inlineStr">
        <is>
          <t>Source annuaire</t>
        </is>
      </c>
      <c r="S11" s="13" t="inlineStr">
        <is>
          <t>Ouvrir la fiche entreprise</t>
        </is>
      </c>
      <c r="T11" s="9" t="inlineStr">
        <is>
          <t>A contacter</t>
        </is>
      </c>
      <c r="U11" s="14" t="inlineStr"/>
      <c r="V11" s="11" t="inlineStr">
        <is>
          <t>Affrètement et organisation de transports. Présent à Gillot pour le fret aérien et au port pour le fret maritime : deux univers dans la même entreprise.</t>
        </is>
      </c>
    </row>
    <row r="12" ht="46" customHeight="1">
      <c r="A12" s="15" t="n">
        <v>8</v>
      </c>
      <c r="B12" s="16" t="inlineStr">
        <is>
          <t>OCX RÉUNION</t>
        </is>
      </c>
      <c r="C12" s="15" t="inlineStr">
        <is>
          <t>Messagerie express internationale</t>
        </is>
      </c>
      <c r="D12" s="17" t="inlineStr">
        <is>
          <t>A VERIFIER</t>
        </is>
      </c>
      <c r="E12" s="15" t="inlineStr">
        <is>
          <t>97438</t>
        </is>
      </c>
      <c r="F12" s="15" t="inlineStr">
        <is>
          <t>Sainte-Marie</t>
        </is>
      </c>
      <c r="G12" s="18" t="inlineStr">
        <is>
          <t>A VERIFIER</t>
        </is>
      </c>
      <c r="H12" s="15" t="inlineStr">
        <is>
          <t>A VERIFIER</t>
        </is>
      </c>
      <c r="I12" s="17" t="inlineStr">
        <is>
          <t>A VERIFIER</t>
        </is>
      </c>
      <c r="J12" s="15" t="inlineStr">
        <is>
          <t>A COMPLETER</t>
        </is>
      </c>
      <c r="K12" s="15" t="inlineStr">
        <is>
          <t>A COMPLETER</t>
        </is>
      </c>
      <c r="L12" s="15" t="inlineStr">
        <is>
          <t>Dirigeant / DG</t>
        </is>
      </c>
      <c r="M12" s="18" t="inlineStr">
        <is>
          <t>A COMPLETER</t>
        </is>
      </c>
      <c r="N12" s="15" t="inlineStr">
        <is>
          <t>A COMPLETER</t>
        </is>
      </c>
      <c r="O12" s="15" t="inlineStr">
        <is>
          <t>A COMPLETER</t>
        </is>
      </c>
      <c r="P12" s="17" t="inlineStr">
        <is>
          <t>Agent de quai / Réception-expédition</t>
        </is>
      </c>
      <c r="Q12" s="15" t="inlineStr">
        <is>
          <t>P1</t>
        </is>
      </c>
      <c r="R12" s="15" t="inlineStr">
        <is>
          <t>Source annuaire</t>
        </is>
      </c>
      <c r="S12" s="19" t="inlineStr">
        <is>
          <t>Ouvrir la fiche entreprise</t>
        </is>
      </c>
      <c r="T12" s="15" t="inlineStr">
        <is>
          <t>A contacter</t>
        </is>
      </c>
      <c r="U12" s="20" t="inlineStr"/>
      <c r="V12" s="17" t="inlineStr">
        <is>
          <t>Cité comme représentant officiel FedEx et TNT à La Réunion : quai, tri, documents d'expédition. Confirmer l'agrément lors de l'appel.</t>
        </is>
      </c>
    </row>
    <row r="13" ht="46" customHeight="1">
      <c r="A13" s="9" t="n">
        <v>9</v>
      </c>
      <c r="B13" s="10" t="inlineStr">
        <is>
          <t>HOLDTRANS</t>
        </is>
      </c>
      <c r="C13" s="9" t="inlineStr">
        <is>
          <t>Transit / Commission en douane</t>
        </is>
      </c>
      <c r="D13" s="11" t="inlineStr">
        <is>
          <t>Nouvelle aérogare de fret – porte 238</t>
        </is>
      </c>
      <c r="E13" s="9" t="inlineStr">
        <is>
          <t>97438</t>
        </is>
      </c>
      <c r="F13" s="9" t="inlineStr">
        <is>
          <t>Sainte-Marie</t>
        </is>
      </c>
      <c r="G13" s="12" t="inlineStr">
        <is>
          <t>A VERIFIER</t>
        </is>
      </c>
      <c r="H13" s="9" t="inlineStr">
        <is>
          <t>A VERIFIER</t>
        </is>
      </c>
      <c r="I13" s="11" t="inlineStr">
        <is>
          <t>A VERIFIER</t>
        </is>
      </c>
      <c r="J13" s="9" t="inlineStr">
        <is>
          <t>A COMPLETER</t>
        </is>
      </c>
      <c r="K13" s="9" t="inlineStr">
        <is>
          <t>A COMPLETER</t>
        </is>
      </c>
      <c r="L13" s="9" t="inlineStr">
        <is>
          <t>Dirigeant / DG</t>
        </is>
      </c>
      <c r="M13" s="12" t="inlineStr">
        <is>
          <t>A COMPLETER</t>
        </is>
      </c>
      <c r="N13" s="9" t="inlineStr">
        <is>
          <t>A COMPLETER</t>
        </is>
      </c>
      <c r="O13" s="9" t="inlineStr">
        <is>
          <t>A COMPLETER</t>
        </is>
      </c>
      <c r="P13" s="11" t="inlineStr">
        <is>
          <t>Agent de transit / Déclarant douane jr</t>
        </is>
      </c>
      <c r="Q13" s="9" t="inlineStr">
        <is>
          <t>P1</t>
        </is>
      </c>
      <c r="R13" s="9" t="inlineStr">
        <is>
          <t>Source annuaire</t>
        </is>
      </c>
      <c r="S13" s="13" t="inlineStr">
        <is>
          <t>Ouvrir la fiche entreprise</t>
        </is>
      </c>
      <c r="T13" s="9" t="inlineStr">
        <is>
          <t>A contacter</t>
        </is>
      </c>
      <c r="U13" s="14" t="inlineStr"/>
      <c r="V13" s="11" t="inlineStr">
        <is>
          <t>Déclarants en douane agréés, fret maritime et aérien. Sur la plateforme fret de Gillot.</t>
        </is>
      </c>
    </row>
    <row r="14" ht="46" customHeight="1">
      <c r="A14" s="15" t="n">
        <v>10</v>
      </c>
      <c r="B14" s="16" t="inlineStr">
        <is>
          <t>BOLLORÉ LOGISTICS RÉUNION</t>
        </is>
      </c>
      <c r="C14" s="15" t="inlineStr">
        <is>
          <t>Transit international / Logistique contractuelle</t>
        </is>
      </c>
      <c r="D14" s="17" t="inlineStr">
        <is>
          <t>7 rue André Lardy – La Mare</t>
        </is>
      </c>
      <c r="E14" s="15" t="inlineStr">
        <is>
          <t>97438</t>
        </is>
      </c>
      <c r="F14" s="15" t="inlineStr">
        <is>
          <t>Sainte-Marie</t>
        </is>
      </c>
      <c r="G14" s="18" t="inlineStr">
        <is>
          <t>A VERIFIER</t>
        </is>
      </c>
      <c r="H14" s="15" t="inlineStr">
        <is>
          <t>A VERIFIER</t>
        </is>
      </c>
      <c r="I14" s="17" t="inlineStr">
        <is>
          <t>A VERIFIER</t>
        </is>
      </c>
      <c r="J14" s="15" t="inlineStr">
        <is>
          <t>A COMPLETER</t>
        </is>
      </c>
      <c r="K14" s="15" t="inlineStr">
        <is>
          <t>A COMPLETER</t>
        </is>
      </c>
      <c r="L14" s="15" t="inlineStr">
        <is>
          <t>Dirigeant / DG</t>
        </is>
      </c>
      <c r="M14" s="18" t="inlineStr">
        <is>
          <t>A COMPLETER</t>
        </is>
      </c>
      <c r="N14" s="15" t="inlineStr">
        <is>
          <t>A COMPLETER</t>
        </is>
      </c>
      <c r="O14" s="15" t="inlineStr">
        <is>
          <t>A COMPLETER</t>
        </is>
      </c>
      <c r="P14" s="17" t="inlineStr">
        <is>
          <t>Agent de transit / Déclarant douane jr</t>
        </is>
      </c>
      <c r="Q14" s="15" t="inlineStr">
        <is>
          <t>P1</t>
        </is>
      </c>
      <c r="R14" s="15" t="inlineStr">
        <is>
          <t>Source annuaire</t>
        </is>
      </c>
      <c r="S14" s="19" t="inlineStr">
        <is>
          <t>Ouvrir la fiche entreprise</t>
        </is>
      </c>
      <c r="T14" s="15" t="inlineStr">
        <is>
          <t>A contacter</t>
        </is>
      </c>
      <c r="U14" s="20" t="inlineStr"/>
      <c r="V14" s="17" t="inlineStr">
        <is>
          <t>Groupe international : l'alternance y est une pratique installée. Viser le responsable d'agence ET la RH régionale, et déposer l'offre sur leur portail recrutement.</t>
        </is>
      </c>
    </row>
    <row r="15" ht="46" customHeight="1">
      <c r="A15" s="9" t="n">
        <v>11</v>
      </c>
      <c r="B15" s="10" t="inlineStr">
        <is>
          <t>SCHENKER FRANCE – agence Réunion</t>
        </is>
      </c>
      <c r="C15" s="9" t="inlineStr">
        <is>
          <t>Transit / Commission de transport</t>
        </is>
      </c>
      <c r="D15" s="11" t="inlineStr">
        <is>
          <t>Zone aérogare de fret – Gillot</t>
        </is>
      </c>
      <c r="E15" s="9" t="inlineStr">
        <is>
          <t>97438</t>
        </is>
      </c>
      <c r="F15" s="9" t="inlineStr">
        <is>
          <t>Sainte-Marie</t>
        </is>
      </c>
      <c r="G15" s="12" t="inlineStr">
        <is>
          <t>A VERIFIER</t>
        </is>
      </c>
      <c r="H15" s="9" t="inlineStr">
        <is>
          <t>A VERIFIER</t>
        </is>
      </c>
      <c r="I15" s="11" t="inlineStr">
        <is>
          <t>A VERIFIER</t>
        </is>
      </c>
      <c r="J15" s="9" t="inlineStr">
        <is>
          <t>A COMPLETER</t>
        </is>
      </c>
      <c r="K15" s="9" t="inlineStr">
        <is>
          <t>A COMPLETER</t>
        </is>
      </c>
      <c r="L15" s="9" t="inlineStr">
        <is>
          <t>Dirigeant / DG</t>
        </is>
      </c>
      <c r="M15" s="12" t="inlineStr">
        <is>
          <t>A COMPLETER</t>
        </is>
      </c>
      <c r="N15" s="9" t="inlineStr">
        <is>
          <t>A COMPLETER</t>
        </is>
      </c>
      <c r="O15" s="9" t="inlineStr">
        <is>
          <t>A COMPLETER</t>
        </is>
      </c>
      <c r="P15" s="11" t="inlineStr">
        <is>
          <t>Agent de transit / Déclarant douane jr</t>
        </is>
      </c>
      <c r="Q15" s="9" t="inlineStr">
        <is>
          <t>P1</t>
        </is>
      </c>
      <c r="R15" s="9" t="inlineStr">
        <is>
          <t>Source annuaire</t>
        </is>
      </c>
      <c r="S15" s="13" t="inlineStr">
        <is>
          <t>Ouvrir la fiche entreprise</t>
        </is>
      </c>
      <c r="T15" s="9" t="inlineStr">
        <is>
          <t>A contacter</t>
        </is>
      </c>
      <c r="U15" s="14" t="inlineStr"/>
      <c r="V15" s="11" t="inlineStr">
        <is>
          <t>Groupe international présent sur la zone fret. Même méthode que Bolloré : agence + RH.</t>
        </is>
      </c>
    </row>
    <row r="16" ht="46" customHeight="1">
      <c r="A16" s="15" t="n">
        <v>12</v>
      </c>
      <c r="B16" s="16" t="inlineStr">
        <is>
          <t>KUEHNE + NAGEL – présence 974</t>
        </is>
      </c>
      <c r="C16" s="15" t="inlineStr">
        <is>
          <t>Transit / Logistique internationale</t>
        </is>
      </c>
      <c r="D16" s="17" t="inlineStr">
        <is>
          <t>A VERIFIER</t>
        </is>
      </c>
      <c r="E16" s="15" t="inlineStr">
        <is>
          <t>97438</t>
        </is>
      </c>
      <c r="F16" s="15" t="inlineStr">
        <is>
          <t>Sainte-Marie</t>
        </is>
      </c>
      <c r="G16" s="18" t="inlineStr">
        <is>
          <t>A VERIFIER</t>
        </is>
      </c>
      <c r="H16" s="15" t="inlineStr">
        <is>
          <t>A VERIFIER</t>
        </is>
      </c>
      <c r="I16" s="17" t="inlineStr">
        <is>
          <t>A VERIFIER</t>
        </is>
      </c>
      <c r="J16" s="15" t="inlineStr">
        <is>
          <t>A COMPLETER</t>
        </is>
      </c>
      <c r="K16" s="15" t="inlineStr">
        <is>
          <t>A COMPLETER</t>
        </is>
      </c>
      <c r="L16" s="15" t="inlineStr">
        <is>
          <t>Dirigeant / DG</t>
        </is>
      </c>
      <c r="M16" s="18" t="inlineStr">
        <is>
          <t>A COMPLETER</t>
        </is>
      </c>
      <c r="N16" s="15" t="inlineStr">
        <is>
          <t>A COMPLETER</t>
        </is>
      </c>
      <c r="O16" s="15" t="inlineStr">
        <is>
          <t>A COMPLETER</t>
        </is>
      </c>
      <c r="P16" s="17" t="inlineStr">
        <is>
          <t>Agent de transit / Déclarant douane jr</t>
        </is>
      </c>
      <c r="Q16" s="15" t="inlineStr">
        <is>
          <t>P2</t>
        </is>
      </c>
      <c r="R16" s="15" t="inlineStr">
        <is>
          <t>A vérifier</t>
        </is>
      </c>
      <c r="S16" s="19" t="inlineStr">
        <is>
          <t>Ouvrir la fiche entreprise</t>
        </is>
      </c>
      <c r="T16" s="15" t="inlineStr">
        <is>
          <t>A contacter</t>
        </is>
      </c>
      <c r="U16" s="20" t="inlineStr"/>
      <c r="V16" s="17" t="inlineStr">
        <is>
          <t>Présence citée sur la zone aéroportuaire mais NON confirmée : vérifier l'existence d'un établissement 974 sur l'Annuaire des Entreprises AVANT tout appel.</t>
        </is>
      </c>
    </row>
    <row r="17" ht="46" customHeight="1">
      <c r="A17" s="9" t="n">
        <v>13</v>
      </c>
      <c r="B17" s="10" t="inlineStr">
        <is>
          <t>LEROY MERLIN SAINTE-MARIE</t>
        </is>
      </c>
      <c r="C17" s="9" t="inlineStr">
        <is>
          <t>Distribution spécialisée – réserve &amp; cour</t>
        </is>
      </c>
      <c r="D17" s="11" t="inlineStr">
        <is>
          <t>A VERIFIER</t>
        </is>
      </c>
      <c r="E17" s="9" t="inlineStr">
        <is>
          <t>97438</t>
        </is>
      </c>
      <c r="F17" s="9" t="inlineStr">
        <is>
          <t>Sainte-Marie</t>
        </is>
      </c>
      <c r="G17" s="12" t="inlineStr">
        <is>
          <t>A VERIFIER</t>
        </is>
      </c>
      <c r="H17" s="9" t="inlineStr">
        <is>
          <t>A VERIFIER</t>
        </is>
      </c>
      <c r="I17" s="11" t="inlineStr">
        <is>
          <t>A VERIFIER</t>
        </is>
      </c>
      <c r="J17" s="9" t="inlineStr">
        <is>
          <t>A COMPLETER</t>
        </is>
      </c>
      <c r="K17" s="9" t="inlineStr">
        <is>
          <t>A COMPLETER</t>
        </is>
      </c>
      <c r="L17" s="9" t="inlineStr">
        <is>
          <t>Dirigeant / DG</t>
        </is>
      </c>
      <c r="M17" s="12" t="inlineStr">
        <is>
          <t>A COMPLETER</t>
        </is>
      </c>
      <c r="N17" s="9" t="inlineStr">
        <is>
          <t>A COMPLETER</t>
        </is>
      </c>
      <c r="O17" s="9" t="inlineStr">
        <is>
          <t>A COMPLETER</t>
        </is>
      </c>
      <c r="P17" s="11" t="inlineStr">
        <is>
          <t>Magasinier / Gestion des stocks</t>
        </is>
      </c>
      <c r="Q17" s="9" t="inlineStr">
        <is>
          <t>P1</t>
        </is>
      </c>
      <c r="R17" s="9" t="inlineStr">
        <is>
          <t>Source annuaire</t>
        </is>
      </c>
      <c r="S17" s="13" t="inlineStr">
        <is>
          <t>Ouvrir la fiche entreprise</t>
        </is>
      </c>
      <c r="T17" s="9" t="inlineStr">
        <is>
          <t>A contacter</t>
        </is>
      </c>
      <c r="U17" s="14" t="inlineStr"/>
      <c r="V17" s="11" t="inlineStr">
        <is>
          <t>Réception, réserve, cour matériaux, drive. Enseigne nationale : dossier alternance cadré. Passer par le magasin ET le portail recrutement de l'enseigne.</t>
        </is>
      </c>
    </row>
    <row r="18" ht="46" customHeight="1">
      <c r="A18" s="15" t="n">
        <v>14</v>
      </c>
      <c r="B18" s="16" t="inlineStr">
        <is>
          <t>LA POSTE – centre courrier / colis Sainte-Marie</t>
        </is>
      </c>
      <c r="C18" s="15" t="inlineStr">
        <is>
          <t>Poste et courrier / Colis</t>
        </is>
      </c>
      <c r="D18" s="17" t="inlineStr">
        <is>
          <t>2 rue Ravine</t>
        </is>
      </c>
      <c r="E18" s="15" t="inlineStr">
        <is>
          <t>97438</t>
        </is>
      </c>
      <c r="F18" s="15" t="inlineStr">
        <is>
          <t>Sainte-Marie</t>
        </is>
      </c>
      <c r="G18" s="18" t="inlineStr">
        <is>
          <t>A VERIFIER</t>
        </is>
      </c>
      <c r="H18" s="15" t="inlineStr">
        <is>
          <t>A VERIFIER</t>
        </is>
      </c>
      <c r="I18" s="17" t="inlineStr">
        <is>
          <t>A VERIFIER</t>
        </is>
      </c>
      <c r="J18" s="15" t="inlineStr">
        <is>
          <t>A COMPLETER</t>
        </is>
      </c>
      <c r="K18" s="15" t="inlineStr">
        <is>
          <t>A COMPLETER</t>
        </is>
      </c>
      <c r="L18" s="15" t="inlineStr">
        <is>
          <t>Dirigeant / DG</t>
        </is>
      </c>
      <c r="M18" s="18" t="inlineStr">
        <is>
          <t>A COMPLETER</t>
        </is>
      </c>
      <c r="N18" s="15" t="inlineStr">
        <is>
          <t>A COMPLETER</t>
        </is>
      </c>
      <c r="O18" s="15" t="inlineStr">
        <is>
          <t>A COMPLETER</t>
        </is>
      </c>
      <c r="P18" s="17" t="inlineStr">
        <is>
          <t>Agent de quai / Réception-expédition</t>
        </is>
      </c>
      <c r="Q18" s="15" t="inlineStr">
        <is>
          <t>P2</t>
        </is>
      </c>
      <c r="R18" s="15" t="inlineStr">
        <is>
          <t>Source annuaire</t>
        </is>
      </c>
      <c r="S18" s="19" t="inlineStr">
        <is>
          <t>Ouvrir la fiche entreprise</t>
        </is>
      </c>
      <c r="T18" s="15" t="inlineStr">
        <is>
          <t>A contacter</t>
        </is>
      </c>
      <c r="U18" s="20" t="inlineStr"/>
      <c r="V18" s="17" t="inlineStr">
        <is>
          <t>Tri et distribution de colis (Colissimo). Gros recruteur en alternance, mais dossier centralisé : passer par la RH régionale La Poste Réunion.</t>
        </is>
      </c>
    </row>
    <row r="19" ht="46" customHeight="1">
      <c r="A19" s="9" t="n">
        <v>15</v>
      </c>
      <c r="B19" s="10" t="inlineStr">
        <is>
          <t>SIPR / MAD-SIPR – site Sainte-Marie</t>
        </is>
      </c>
      <c r="C19" s="9" t="inlineStr">
        <is>
          <t>Logistique pharmaceutique / Matériel médical</t>
        </is>
      </c>
      <c r="D19" s="11" t="inlineStr">
        <is>
          <t>A VERIFIER</t>
        </is>
      </c>
      <c r="E19" s="9" t="inlineStr">
        <is>
          <t>97438</t>
        </is>
      </c>
      <c r="F19" s="9" t="inlineStr">
        <is>
          <t>Sainte-Marie</t>
        </is>
      </c>
      <c r="G19" s="12" t="inlineStr">
        <is>
          <t>A VERIFIER</t>
        </is>
      </c>
      <c r="H19" s="9" t="inlineStr">
        <is>
          <t>A VERIFIER</t>
        </is>
      </c>
      <c r="I19" s="11" t="inlineStr">
        <is>
          <t>A VERIFIER</t>
        </is>
      </c>
      <c r="J19" s="9" t="inlineStr">
        <is>
          <t>A COMPLETER</t>
        </is>
      </c>
      <c r="K19" s="9" t="inlineStr">
        <is>
          <t>A COMPLETER</t>
        </is>
      </c>
      <c r="L19" s="9" t="inlineStr">
        <is>
          <t>Dirigeant / DG</t>
        </is>
      </c>
      <c r="M19" s="12" t="inlineStr">
        <is>
          <t>A COMPLETER</t>
        </is>
      </c>
      <c r="N19" s="9" t="inlineStr">
        <is>
          <t>A COMPLETER</t>
        </is>
      </c>
      <c r="O19" s="9" t="inlineStr">
        <is>
          <t>A COMPLETER</t>
        </is>
      </c>
      <c r="P19" s="11" t="inlineStr">
        <is>
          <t>Magasinier / Gestion des stocks</t>
        </is>
      </c>
      <c r="Q19" s="9" t="inlineStr">
        <is>
          <t>P2</t>
        </is>
      </c>
      <c r="R19" s="9" t="inlineStr">
        <is>
          <t>Source annuaire</t>
        </is>
      </c>
      <c r="S19" s="13" t="inlineStr">
        <is>
          <t>Ouvrir la fiche entreprise</t>
        </is>
      </c>
      <c r="T19" s="9" t="inlineStr">
        <is>
          <t>A contacter</t>
        </is>
      </c>
      <c r="U19" s="14" t="inlineStr"/>
      <c r="V19" s="11" t="inlineStr">
        <is>
          <t>Groupe SIPR, 3 sites sur l'île. Magasin de matériel médical : gestion de stock et préparation de commandes tracées.</t>
        </is>
      </c>
    </row>
    <row r="20" ht="46" customHeight="1">
      <c r="A20" s="15" t="n">
        <v>16</v>
      </c>
      <c r="B20" s="16" t="inlineStr">
        <is>
          <t>SD BEAUSÉJOUR (supermarché)</t>
        </is>
      </c>
      <c r="C20" s="15" t="inlineStr">
        <is>
          <t>Grande distribution – réserve</t>
        </is>
      </c>
      <c r="D20" s="17" t="inlineStr">
        <is>
          <t>200 avenue Beau Pays</t>
        </is>
      </c>
      <c r="E20" s="15" t="inlineStr">
        <is>
          <t>97438</t>
        </is>
      </c>
      <c r="F20" s="15" t="inlineStr">
        <is>
          <t>Sainte-Marie</t>
        </is>
      </c>
      <c r="G20" s="18" t="inlineStr">
        <is>
          <t>A VERIFIER</t>
        </is>
      </c>
      <c r="H20" s="15" t="inlineStr">
        <is>
          <t>A VERIFIER</t>
        </is>
      </c>
      <c r="I20" s="17" t="inlineStr">
        <is>
          <t>A VERIFIER</t>
        </is>
      </c>
      <c r="J20" s="15" t="inlineStr">
        <is>
          <t>A COMPLETER</t>
        </is>
      </c>
      <c r="K20" s="15" t="inlineStr">
        <is>
          <t>A COMPLETER</t>
        </is>
      </c>
      <c r="L20" s="15" t="inlineStr">
        <is>
          <t>Dirigeant / DG</t>
        </is>
      </c>
      <c r="M20" s="18" t="inlineStr">
        <is>
          <t>A COMPLETER</t>
        </is>
      </c>
      <c r="N20" s="15" t="inlineStr">
        <is>
          <t>A COMPLETER</t>
        </is>
      </c>
      <c r="O20" s="15" t="inlineStr">
        <is>
          <t>A COMPLETER</t>
        </is>
      </c>
      <c r="P20" s="17" t="inlineStr">
        <is>
          <t>Employé logistique en magasin</t>
        </is>
      </c>
      <c r="Q20" s="15" t="inlineStr">
        <is>
          <t>P2</t>
        </is>
      </c>
      <c r="R20" s="15" t="inlineStr">
        <is>
          <t>Source annuaire</t>
        </is>
      </c>
      <c r="S20" s="19" t="inlineStr">
        <is>
          <t>Ouvrir la fiche entreprise</t>
        </is>
      </c>
      <c r="T20" s="15" t="inlineStr">
        <is>
          <t>A contacter</t>
        </is>
      </c>
      <c r="U20" s="20" t="inlineStr"/>
      <c r="V20" s="17" t="inlineStr">
        <is>
          <t>Réception marchandises / réserve : poste d'employé logistique.</t>
        </is>
      </c>
    </row>
    <row r="21" ht="46" customHeight="1">
      <c r="A21" s="9" t="n">
        <v>17</v>
      </c>
      <c r="B21" s="10" t="inlineStr">
        <is>
          <t>U EXPRESS SAINTE-MARIE</t>
        </is>
      </c>
      <c r="C21" s="9" t="inlineStr">
        <is>
          <t>Grande distribution – réserve</t>
        </is>
      </c>
      <c r="D21" s="11" t="inlineStr">
        <is>
          <t>112 rue Roger Payet</t>
        </is>
      </c>
      <c r="E21" s="9" t="inlineStr">
        <is>
          <t>97438</t>
        </is>
      </c>
      <c r="F21" s="9" t="inlineStr">
        <is>
          <t>Sainte-Marie</t>
        </is>
      </c>
      <c r="G21" s="12" t="inlineStr">
        <is>
          <t>A VERIFIER</t>
        </is>
      </c>
      <c r="H21" s="9" t="inlineStr">
        <is>
          <t>A VERIFIER</t>
        </is>
      </c>
      <c r="I21" s="11" t="inlineStr">
        <is>
          <t>A VERIFIER</t>
        </is>
      </c>
      <c r="J21" s="9" t="inlineStr">
        <is>
          <t>A COMPLETER</t>
        </is>
      </c>
      <c r="K21" s="9" t="inlineStr">
        <is>
          <t>A COMPLETER</t>
        </is>
      </c>
      <c r="L21" s="9" t="inlineStr">
        <is>
          <t>Dirigeant / DG</t>
        </is>
      </c>
      <c r="M21" s="12" t="inlineStr">
        <is>
          <t>A COMPLETER</t>
        </is>
      </c>
      <c r="N21" s="9" t="inlineStr">
        <is>
          <t>A COMPLETER</t>
        </is>
      </c>
      <c r="O21" s="9" t="inlineStr">
        <is>
          <t>A COMPLETER</t>
        </is>
      </c>
      <c r="P21" s="11" t="inlineStr">
        <is>
          <t>Employé logistique en magasin</t>
        </is>
      </c>
      <c r="Q21" s="9" t="inlineStr">
        <is>
          <t>P2</t>
        </is>
      </c>
      <c r="R21" s="9" t="inlineStr">
        <is>
          <t>Source annuaire</t>
        </is>
      </c>
      <c r="S21" s="13" t="inlineStr">
        <is>
          <t>Ouvrir la fiche entreprise</t>
        </is>
      </c>
      <c r="T21" s="9" t="inlineStr">
        <is>
          <t>A contacter</t>
        </is>
      </c>
      <c r="U21" s="14" t="inlineStr"/>
      <c r="V21" s="11" t="inlineStr">
        <is>
          <t>Enseigne U : accords alternance fréquents.</t>
        </is>
      </c>
    </row>
  </sheetData>
  <autoFilter ref="A4:V21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S5" r:id="rId2"/>
    <hyperlink xmlns:r="http://schemas.openxmlformats.org/officeDocument/2006/relationships" ref="S6" r:id="rId3"/>
    <hyperlink xmlns:r="http://schemas.openxmlformats.org/officeDocument/2006/relationships" ref="S7" r:id="rId4"/>
    <hyperlink xmlns:r="http://schemas.openxmlformats.org/officeDocument/2006/relationships" ref="S8" r:id="rId5"/>
    <hyperlink xmlns:r="http://schemas.openxmlformats.org/officeDocument/2006/relationships" ref="S9" r:id="rId6"/>
    <hyperlink xmlns:r="http://schemas.openxmlformats.org/officeDocument/2006/relationships" ref="S10" r:id="rId7"/>
    <hyperlink xmlns:r="http://schemas.openxmlformats.org/officeDocument/2006/relationships" ref="S11" r:id="rId8"/>
    <hyperlink xmlns:r="http://schemas.openxmlformats.org/officeDocument/2006/relationships" ref="S12" r:id="rId9"/>
    <hyperlink xmlns:r="http://schemas.openxmlformats.org/officeDocument/2006/relationships" ref="S13" r:id="rId10"/>
    <hyperlink xmlns:r="http://schemas.openxmlformats.org/officeDocument/2006/relationships" ref="S14" r:id="rId11"/>
    <hyperlink xmlns:r="http://schemas.openxmlformats.org/officeDocument/2006/relationships" ref="S15" r:id="rId12"/>
    <hyperlink xmlns:r="http://schemas.openxmlformats.org/officeDocument/2006/relationships" ref="S16" r:id="rId13"/>
    <hyperlink xmlns:r="http://schemas.openxmlformats.org/officeDocument/2006/relationships" ref="S17" r:id="rId14"/>
    <hyperlink xmlns:r="http://schemas.openxmlformats.org/officeDocument/2006/relationships" ref="S18" r:id="rId15"/>
    <hyperlink xmlns:r="http://schemas.openxmlformats.org/officeDocument/2006/relationships" ref="S19" r:id="rId16"/>
    <hyperlink xmlns:r="http://schemas.openxmlformats.org/officeDocument/2006/relationships" ref="S20" r:id="rId17"/>
    <hyperlink xmlns:r="http://schemas.openxmlformats.org/officeDocument/2006/relationships" ref="S21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SAINTE-SUZANNE</t>
        </is>
      </c>
    </row>
    <row r="2" ht="16" customHeight="1">
      <c r="A2" s="2" t="inlineStr">
        <is>
          <t>Sainte-Suzanne – Quartier Français, Bagatelle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SOCIÉTÉ TRANS LOGISTICS RÉUNION</t>
        </is>
      </c>
      <c r="C5" s="9" t="inlineStr">
        <is>
          <t>Transport routier de fret</t>
        </is>
      </c>
      <c r="D5" s="11" t="inlineStr">
        <is>
          <t>85 rue Marchande</t>
        </is>
      </c>
      <c r="E5" s="9" t="inlineStr">
        <is>
          <t>97441</t>
        </is>
      </c>
      <c r="F5" s="9" t="inlineStr">
        <is>
          <t>Sainte-Suzanne</t>
        </is>
      </c>
      <c r="G5" s="12" t="inlineStr">
        <is>
          <t>A VERIFIER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9" t="inlineStr">
        <is>
          <t>A COMPLETER</t>
        </is>
      </c>
      <c r="P5" s="11" t="inlineStr">
        <is>
          <t>Opérateur logistique / Prépa. commandes</t>
        </is>
      </c>
      <c r="Q5" s="9" t="inlineStr">
        <is>
          <t>P1</t>
        </is>
      </c>
      <c r="R5" s="9" t="inlineStr">
        <is>
          <t>Source annuaire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/>
    </row>
    <row r="6" ht="46" customHeight="1">
      <c r="A6" s="15" t="n">
        <v>2</v>
      </c>
      <c r="B6" s="16" t="inlineStr">
        <is>
          <t>MRUN TRANSPORT</t>
        </is>
      </c>
      <c r="C6" s="15" t="inlineStr">
        <is>
          <t>Transport routier de fret</t>
        </is>
      </c>
      <c r="D6" s="17" t="inlineStr">
        <is>
          <t>1B chemin Foutaque</t>
        </is>
      </c>
      <c r="E6" s="15" t="inlineStr">
        <is>
          <t>97441</t>
        </is>
      </c>
      <c r="F6" s="15" t="inlineStr">
        <is>
          <t>Sainte-Suzanne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Agent de quai / Réception-expédition</t>
        </is>
      </c>
      <c r="Q6" s="15" t="inlineStr">
        <is>
          <t>P2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/>
    </row>
    <row r="7" ht="46" customHeight="1">
      <c r="A7" s="9" t="n">
        <v>3</v>
      </c>
      <c r="B7" s="10" t="inlineStr">
        <is>
          <t>TIAMONTINIA – TRANSPORT DE MARCHANDISES</t>
        </is>
      </c>
      <c r="C7" s="9" t="inlineStr">
        <is>
          <t>Transport routier de fret</t>
        </is>
      </c>
      <c r="D7" s="11" t="inlineStr">
        <is>
          <t>7 Bagatelle</t>
        </is>
      </c>
      <c r="E7" s="9" t="inlineStr">
        <is>
          <t>97441</t>
        </is>
      </c>
      <c r="F7" s="9" t="inlineStr">
        <is>
          <t>Sainte-Suzanne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Agent de quai / Réception-expédition</t>
        </is>
      </c>
      <c r="Q7" s="9" t="inlineStr">
        <is>
          <t>P3</t>
        </is>
      </c>
      <c r="R7" s="9" t="inlineStr">
        <is>
          <t>Source annuaire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TPE : vérifier la capacité à accueillir un apprenti (tuteur disponible).</t>
        </is>
      </c>
    </row>
    <row r="8" ht="46" customHeight="1">
      <c r="A8" s="15" t="n">
        <v>4</v>
      </c>
      <c r="B8" s="16" t="inlineStr">
        <is>
          <t>ALLON ROULE !</t>
        </is>
      </c>
      <c r="C8" s="15" t="inlineStr">
        <is>
          <t>Transport / Livraison</t>
        </is>
      </c>
      <c r="D8" s="17" t="inlineStr">
        <is>
          <t>19 chemin des Azalées</t>
        </is>
      </c>
      <c r="E8" s="15" t="inlineStr">
        <is>
          <t>97441</t>
        </is>
      </c>
      <c r="F8" s="15" t="inlineStr">
        <is>
          <t>Sainte-Suzanne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5" t="inlineStr">
        <is>
          <t>A COMPLETER</t>
        </is>
      </c>
      <c r="P8" s="17" t="inlineStr">
        <is>
          <t>Opérateur logistique / Prépa. commandes</t>
        </is>
      </c>
      <c r="Q8" s="15" t="inlineStr">
        <is>
          <t>P3</t>
        </is>
      </c>
      <c r="R8" s="15" t="inlineStr">
        <is>
          <t>Source annuaire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/>
    </row>
  </sheetData>
  <autoFilter ref="A4:V8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SAINT-ANDRÉ</t>
        </is>
      </c>
    </row>
    <row r="2" ht="16" customHeight="1">
      <c r="A2" s="2" t="inlineStr">
        <is>
          <t>Saint-André – Cambuston, Bois-Rouge, La Cocoteraie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TRANSPORT LOGISTIQUE RÉUNION (TLR)</t>
        </is>
      </c>
      <c r="C5" s="9" t="inlineStr">
        <is>
          <t>Transport &amp; logistique</t>
        </is>
      </c>
      <c r="D5" s="11" t="inlineStr">
        <is>
          <t>221 impasse du Centre</t>
        </is>
      </c>
      <c r="E5" s="9" t="inlineStr">
        <is>
          <t>97440</t>
        </is>
      </c>
      <c r="F5" s="9" t="inlineStr">
        <is>
          <t>Saint-André</t>
        </is>
      </c>
      <c r="G5" s="12" t="inlineStr">
        <is>
          <t>94497358500010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9" t="inlineStr">
        <is>
          <t>A COMPLETER</t>
        </is>
      </c>
      <c r="P5" s="11" t="inlineStr">
        <is>
          <t>Opérateur logistique / Prépa. commandes</t>
        </is>
      </c>
      <c r="Q5" s="9" t="inlineStr">
        <is>
          <t>P1</t>
        </is>
      </c>
      <c r="R5" s="9" t="inlineStr">
        <is>
          <t>Vérifié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SIRET du siège social relevé sur l'Annuaire des Entreprises. Entreprise récente : argument « construire votre équipe avec l'alternance ».</t>
        </is>
      </c>
    </row>
    <row r="6" ht="46" customHeight="1">
      <c r="A6" s="15" t="n">
        <v>2</v>
      </c>
      <c r="B6" s="16" t="inlineStr">
        <is>
          <t>GLR LOGISTICS</t>
        </is>
      </c>
      <c r="C6" s="15" t="inlineStr">
        <is>
          <t>Prestataire logistique (SAS)</t>
        </is>
      </c>
      <c r="D6" s="17" t="inlineStr">
        <is>
          <t>A VERIFIER</t>
        </is>
      </c>
      <c r="E6" s="15" t="inlineStr">
        <is>
          <t>97440</t>
        </is>
      </c>
      <c r="F6" s="15" t="inlineStr">
        <is>
          <t>Saint-André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Opérateur logistique / Prépa. commandes</t>
        </is>
      </c>
      <c r="Q6" s="15" t="inlineStr">
        <is>
          <t>P1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/>
    </row>
    <row r="7" ht="46" customHeight="1">
      <c r="A7" s="9" t="n">
        <v>3</v>
      </c>
      <c r="B7" s="10" t="inlineStr">
        <is>
          <t>SAM I TRANSPORTE</t>
        </is>
      </c>
      <c r="C7" s="9" t="inlineStr">
        <is>
          <t>Transport routier / Livraison</t>
        </is>
      </c>
      <c r="D7" s="11" t="inlineStr">
        <is>
          <t>250 rue Bois Rouge</t>
        </is>
      </c>
      <c r="E7" s="9" t="inlineStr">
        <is>
          <t>97440</t>
        </is>
      </c>
      <c r="F7" s="9" t="inlineStr">
        <is>
          <t>Saint-André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Agent de quai / Réception-expédition</t>
        </is>
      </c>
      <c r="Q7" s="9" t="inlineStr">
        <is>
          <t>P2</t>
        </is>
      </c>
      <c r="R7" s="9" t="inlineStr">
        <is>
          <t>Source annuaire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Livraisons sur toute La Réunion.</t>
        </is>
      </c>
    </row>
    <row r="8" ht="46" customHeight="1">
      <c r="A8" s="15" t="n">
        <v>4</v>
      </c>
      <c r="B8" s="16" t="inlineStr">
        <is>
          <t>ZARLOC</t>
        </is>
      </c>
      <c r="C8" s="15" t="inlineStr">
        <is>
          <t>Location / Logistique</t>
        </is>
      </c>
      <c r="D8" s="17" t="inlineStr">
        <is>
          <t>248 chemin Fourchon</t>
        </is>
      </c>
      <c r="E8" s="15" t="inlineStr">
        <is>
          <t>97440</t>
        </is>
      </c>
      <c r="F8" s="15" t="inlineStr">
        <is>
          <t>Saint-André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5" t="inlineStr">
        <is>
          <t>A COMPLETER</t>
        </is>
      </c>
      <c r="P8" s="17" t="inlineStr">
        <is>
          <t>Magasinier / Gestion des stocks</t>
        </is>
      </c>
      <c r="Q8" s="15" t="inlineStr">
        <is>
          <t>P3</t>
        </is>
      </c>
      <c r="R8" s="15" t="inlineStr">
        <is>
          <t>Source annuaire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>
        <is>
          <t>Vérifier l'activité exacte (code APE) avant l'appel.</t>
        </is>
      </c>
    </row>
    <row r="9" ht="46" customHeight="1">
      <c r="A9" s="9" t="n">
        <v>5</v>
      </c>
      <c r="B9" s="10" t="inlineStr">
        <is>
          <t>TERALTA GRANULATS &amp; BÉTON RÉUNION – site Saint-André</t>
        </is>
      </c>
      <c r="C9" s="9" t="inlineStr">
        <is>
          <t>Industrie / Flux matériaux</t>
        </is>
      </c>
      <c r="D9" s="11" t="inlineStr">
        <is>
          <t>A VERIFIER</t>
        </is>
      </c>
      <c r="E9" s="9" t="inlineStr">
        <is>
          <t>97440</t>
        </is>
      </c>
      <c r="F9" s="9" t="inlineStr">
        <is>
          <t>Saint-André</t>
        </is>
      </c>
      <c r="G9" s="12" t="inlineStr">
        <is>
          <t>A VERIFIER</t>
        </is>
      </c>
      <c r="H9" s="9" t="inlineStr">
        <is>
          <t>A VERIFIER</t>
        </is>
      </c>
      <c r="I9" s="11" t="inlineStr">
        <is>
          <t>A VERIFIER</t>
        </is>
      </c>
      <c r="J9" s="9" t="inlineStr">
        <is>
          <t>A COMPLETER</t>
        </is>
      </c>
      <c r="K9" s="9" t="inlineStr">
        <is>
          <t>A COMPLETER</t>
        </is>
      </c>
      <c r="L9" s="9" t="inlineStr">
        <is>
          <t>Dirigeant / DG</t>
        </is>
      </c>
      <c r="M9" s="12" t="inlineStr">
        <is>
          <t>A COMPLETER</t>
        </is>
      </c>
      <c r="N9" s="9" t="inlineStr">
        <is>
          <t>A COMPLETER</t>
        </is>
      </c>
      <c r="O9" s="9" t="inlineStr">
        <is>
          <t>A COMPLETER</t>
        </is>
      </c>
      <c r="P9" s="11" t="inlineStr">
        <is>
          <t>Magasinier / Gestion des stocks</t>
        </is>
      </c>
      <c r="Q9" s="9" t="inlineStr">
        <is>
          <t>P2</t>
        </is>
      </c>
      <c r="R9" s="9" t="inlineStr">
        <is>
          <t>Source annuaire</t>
        </is>
      </c>
      <c r="S9" s="13" t="inlineStr">
        <is>
          <t>Ouvrir la fiche entreprise</t>
        </is>
      </c>
      <c r="T9" s="9" t="inlineStr">
        <is>
          <t>A contacter</t>
        </is>
      </c>
      <c r="U9" s="14" t="inlineStr"/>
      <c r="V9" s="11" t="inlineStr">
        <is>
          <t>Groupe structuré : passer par la RH régionale. Logistique de granulats et béton.</t>
        </is>
      </c>
    </row>
    <row r="10" ht="46" customHeight="1">
      <c r="A10" s="15" t="n">
        <v>6</v>
      </c>
      <c r="B10" s="16" t="inlineStr">
        <is>
          <t>RUN MARKET SAINT-ANDRÉ</t>
        </is>
      </c>
      <c r="C10" s="15" t="inlineStr">
        <is>
          <t>Grande distribution – réserve</t>
        </is>
      </c>
      <c r="D10" s="17" t="inlineStr">
        <is>
          <t>CC La Cocoteraie</t>
        </is>
      </c>
      <c r="E10" s="15" t="inlineStr">
        <is>
          <t>97440</t>
        </is>
      </c>
      <c r="F10" s="15" t="inlineStr">
        <is>
          <t>Saint-André</t>
        </is>
      </c>
      <c r="G10" s="18" t="inlineStr">
        <is>
          <t>A VERIFIER</t>
        </is>
      </c>
      <c r="H10" s="15" t="inlineStr">
        <is>
          <t>A VERIFIER</t>
        </is>
      </c>
      <c r="I10" s="17" t="inlineStr">
        <is>
          <t>A VERIFIER</t>
        </is>
      </c>
      <c r="J10" s="15" t="inlineStr">
        <is>
          <t>A COMPLETER</t>
        </is>
      </c>
      <c r="K10" s="15" t="inlineStr">
        <is>
          <t>A COMPLETER</t>
        </is>
      </c>
      <c r="L10" s="15" t="inlineStr">
        <is>
          <t>Dirigeant / DG</t>
        </is>
      </c>
      <c r="M10" s="18" t="inlineStr">
        <is>
          <t>A COMPLETER</t>
        </is>
      </c>
      <c r="N10" s="15" t="inlineStr">
        <is>
          <t>A COMPLETER</t>
        </is>
      </c>
      <c r="O10" s="15" t="inlineStr">
        <is>
          <t>A COMPLETER</t>
        </is>
      </c>
      <c r="P10" s="17" t="inlineStr">
        <is>
          <t>Employé logistique en magasin</t>
        </is>
      </c>
      <c r="Q10" s="15" t="inlineStr">
        <is>
          <t>P2</t>
        </is>
      </c>
      <c r="R10" s="15" t="inlineStr">
        <is>
          <t>Source annuaire</t>
        </is>
      </c>
      <c r="S10" s="19" t="inlineStr">
        <is>
          <t>Ouvrir la fiche entreprise</t>
        </is>
      </c>
      <c r="T10" s="15" t="inlineStr">
        <is>
          <t>A contacter</t>
        </is>
      </c>
      <c r="U10" s="20" t="inlineStr"/>
      <c r="V10" s="17" t="inlineStr"/>
    </row>
    <row r="11" ht="46" customHeight="1">
      <c r="A11" s="9" t="n">
        <v>7</v>
      </c>
      <c r="B11" s="10" t="inlineStr">
        <is>
          <t>SUPER U SAINT-ANDRÉ</t>
        </is>
      </c>
      <c r="C11" s="9" t="inlineStr">
        <is>
          <t>Grande distribution – réserve</t>
        </is>
      </c>
      <c r="D11" s="11" t="inlineStr">
        <is>
          <t>A VERIFIER</t>
        </is>
      </c>
      <c r="E11" s="9" t="inlineStr">
        <is>
          <t>97440</t>
        </is>
      </c>
      <c r="F11" s="9" t="inlineStr">
        <is>
          <t>Saint-André</t>
        </is>
      </c>
      <c r="G11" s="12" t="inlineStr">
        <is>
          <t>A VERIFIER</t>
        </is>
      </c>
      <c r="H11" s="9" t="inlineStr">
        <is>
          <t>A VERIFIER</t>
        </is>
      </c>
      <c r="I11" s="11" t="inlineStr">
        <is>
          <t>A VERIFIER</t>
        </is>
      </c>
      <c r="J11" s="9" t="inlineStr">
        <is>
          <t>A COMPLETER</t>
        </is>
      </c>
      <c r="K11" s="9" t="inlineStr">
        <is>
          <t>A COMPLETER</t>
        </is>
      </c>
      <c r="L11" s="9" t="inlineStr">
        <is>
          <t>Dirigeant / DG</t>
        </is>
      </c>
      <c r="M11" s="12" t="inlineStr">
        <is>
          <t>A COMPLETER</t>
        </is>
      </c>
      <c r="N11" s="9" t="inlineStr">
        <is>
          <t>A COMPLETER</t>
        </is>
      </c>
      <c r="O11" s="9" t="inlineStr">
        <is>
          <t>A COMPLETER</t>
        </is>
      </c>
      <c r="P11" s="11" t="inlineStr">
        <is>
          <t>Employé logistique en magasin</t>
        </is>
      </c>
      <c r="Q11" s="9" t="inlineStr">
        <is>
          <t>P2</t>
        </is>
      </c>
      <c r="R11" s="9" t="inlineStr">
        <is>
          <t>Source annuaire</t>
        </is>
      </c>
      <c r="S11" s="13" t="inlineStr">
        <is>
          <t>Ouvrir la fiche entreprise</t>
        </is>
      </c>
      <c r="T11" s="9" t="inlineStr">
        <is>
          <t>A contacter</t>
        </is>
      </c>
      <c r="U11" s="14" t="inlineStr"/>
      <c r="V11" s="11" t="inlineStr">
        <is>
          <t>Réception / réserve / drive : plusieurs postes possibles.</t>
        </is>
      </c>
    </row>
    <row r="12" ht="46" customHeight="1">
      <c r="A12" s="15" t="n">
        <v>8</v>
      </c>
      <c r="B12" s="16" t="inlineStr">
        <is>
          <t>TEREOS OCÉAN INDIEN – SUCRERIE DE BOIS-ROUGE</t>
        </is>
      </c>
      <c r="C12" s="15" t="inlineStr">
        <is>
          <t>Industrie sucrière / Flux &amp; expéditions</t>
        </is>
      </c>
      <c r="D12" s="17" t="inlineStr">
        <is>
          <t>Bois-Rouge – Cambuston</t>
        </is>
      </c>
      <c r="E12" s="15" t="inlineStr">
        <is>
          <t>97440</t>
        </is>
      </c>
      <c r="F12" s="15" t="inlineStr">
        <is>
          <t>Saint-André</t>
        </is>
      </c>
      <c r="G12" s="18" t="inlineStr">
        <is>
          <t>A VERIFIER</t>
        </is>
      </c>
      <c r="H12" s="15" t="inlineStr">
        <is>
          <t>A VERIFIER</t>
        </is>
      </c>
      <c r="I12" s="17" t="inlineStr">
        <is>
          <t>A VERIFIER</t>
        </is>
      </c>
      <c r="J12" s="15" t="inlineStr">
        <is>
          <t>A COMPLETER</t>
        </is>
      </c>
      <c r="K12" s="15" t="inlineStr">
        <is>
          <t>A COMPLETER</t>
        </is>
      </c>
      <c r="L12" s="15" t="inlineStr">
        <is>
          <t>Dirigeant / DG</t>
        </is>
      </c>
      <c r="M12" s="18" t="inlineStr">
        <is>
          <t>A COMPLETER</t>
        </is>
      </c>
      <c r="N12" s="15" t="inlineStr">
        <is>
          <t>A COMPLETER</t>
        </is>
      </c>
      <c r="O12" s="19" t="inlineStr">
        <is>
          <t>https://www.tereos.re/</t>
        </is>
      </c>
      <c r="P12" s="17" t="inlineStr">
        <is>
          <t>Magasinier / Gestion des stocks</t>
        </is>
      </c>
      <c r="Q12" s="15" t="inlineStr">
        <is>
          <t>P1</t>
        </is>
      </c>
      <c r="R12" s="15" t="inlineStr">
        <is>
          <t>Source annuaire</t>
        </is>
      </c>
      <c r="S12" s="19" t="inlineStr">
        <is>
          <t>Ouvrir la fiche entreprise</t>
        </is>
      </c>
      <c r="T12" s="15" t="inlineStr">
        <is>
          <t>A contacter</t>
        </is>
      </c>
      <c r="U12" s="20" t="inlineStr"/>
      <c r="V12" s="17" t="inlineStr">
        <is>
          <t>Le plus gros site industriel de l'Est. Campagne sucrière de juillet à décembre : pics de flux, magasin de pièces, réception canne, expédition du sucre. Passer par la RH de Tereos Océan Indien (siège 974).</t>
        </is>
      </c>
    </row>
    <row r="13" ht="46" customHeight="1">
      <c r="A13" s="9" t="n">
        <v>9</v>
      </c>
      <c r="B13" s="10" t="inlineStr">
        <is>
          <t>SKAL BRICO SODIS</t>
        </is>
      </c>
      <c r="C13" s="9" t="inlineStr">
        <is>
          <t>Négoce de matériaux / Dépôt</t>
        </is>
      </c>
      <c r="D13" s="11" t="inlineStr">
        <is>
          <t>705 chemin Lagourgue</t>
        </is>
      </c>
      <c r="E13" s="9" t="inlineStr">
        <is>
          <t>97440</t>
        </is>
      </c>
      <c r="F13" s="9" t="inlineStr">
        <is>
          <t>Saint-André</t>
        </is>
      </c>
      <c r="G13" s="12" t="inlineStr">
        <is>
          <t>A VERIFIER</t>
        </is>
      </c>
      <c r="H13" s="9" t="inlineStr">
        <is>
          <t>A VERIFIER</t>
        </is>
      </c>
      <c r="I13" s="11" t="inlineStr">
        <is>
          <t>A VERIFIER</t>
        </is>
      </c>
      <c r="J13" s="9" t="inlineStr">
        <is>
          <t>A COMPLETER</t>
        </is>
      </c>
      <c r="K13" s="9" t="inlineStr">
        <is>
          <t>A COMPLETER</t>
        </is>
      </c>
      <c r="L13" s="9" t="inlineStr">
        <is>
          <t>Dirigeant / DG</t>
        </is>
      </c>
      <c r="M13" s="12" t="inlineStr">
        <is>
          <t>A COMPLETER</t>
        </is>
      </c>
      <c r="N13" s="9" t="inlineStr">
        <is>
          <t>A COMPLETER</t>
        </is>
      </c>
      <c r="O13" s="9" t="inlineStr">
        <is>
          <t>A COMPLETER</t>
        </is>
      </c>
      <c r="P13" s="11" t="inlineStr">
        <is>
          <t>Magasinier / Gestion des stocks</t>
        </is>
      </c>
      <c r="Q13" s="9" t="inlineStr">
        <is>
          <t>P2</t>
        </is>
      </c>
      <c r="R13" s="9" t="inlineStr">
        <is>
          <t>Source annuaire</t>
        </is>
      </c>
      <c r="S13" s="13" t="inlineStr">
        <is>
          <t>Ouvrir la fiche entreprise</t>
        </is>
      </c>
      <c r="T13" s="9" t="inlineStr">
        <is>
          <t>A contacter</t>
        </is>
      </c>
      <c r="U13" s="14" t="inlineStr"/>
      <c r="V13" s="11" t="inlineStr">
        <is>
          <t>Dépôt de matériaux : réception, cour, magasinier-cariste.</t>
        </is>
      </c>
    </row>
  </sheetData>
  <autoFilter ref="A4:V13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O12" r:id="rId8"/>
    <hyperlink xmlns:r="http://schemas.openxmlformats.org/officeDocument/2006/relationships" ref="S12" r:id="rId9"/>
    <hyperlink xmlns:r="http://schemas.openxmlformats.org/officeDocument/2006/relationships" ref="S13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BRAS-PANON</t>
        </is>
      </c>
    </row>
    <row r="2" ht="16" customHeight="1">
      <c r="A2" s="2" t="inlineStr">
        <is>
          <t>Bras-Panon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CRÉOLE LOGISTIQUE TRANSPORT</t>
        </is>
      </c>
      <c r="C5" s="9" t="inlineStr">
        <is>
          <t>Transport de fret interurbain</t>
        </is>
      </c>
      <c r="D5" s="11" t="inlineStr">
        <is>
          <t>22 bis RN2 – Rivière des Roches</t>
        </is>
      </c>
      <c r="E5" s="9" t="inlineStr">
        <is>
          <t>97412</t>
        </is>
      </c>
      <c r="F5" s="9" t="inlineStr">
        <is>
          <t>Bras-Panon</t>
        </is>
      </c>
      <c r="G5" s="12" t="inlineStr">
        <is>
          <t>80216938300014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9" t="inlineStr">
        <is>
          <t>A COMPLETER</t>
        </is>
      </c>
      <c r="P5" s="11" t="inlineStr">
        <is>
          <t>Opérateur logistique / Prépa. commandes</t>
        </is>
      </c>
      <c r="Q5" s="9" t="inlineStr">
        <is>
          <t>P1</t>
        </is>
      </c>
      <c r="R5" s="9" t="inlineStr">
        <is>
          <t>Vérifié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SIRET et adresse relevés sur base publique (siège Bras-Panon), à reconfirmer sur l'Annuaire des Entreprises. Classée INSEE en transport routier de fret interurbain. Entreprise installée depuis une dizaine d'années : tuteur potentiel expérimenté.</t>
        </is>
      </c>
    </row>
    <row r="6" ht="46" customHeight="1">
      <c r="A6" s="15" t="n">
        <v>2</v>
      </c>
      <c r="B6" s="16" t="inlineStr">
        <is>
          <t>AFA MARIE</t>
        </is>
      </c>
      <c r="C6" s="15" t="inlineStr">
        <is>
          <t>Transport routier</t>
        </is>
      </c>
      <c r="D6" s="17" t="inlineStr">
        <is>
          <t>A VERIFIER</t>
        </is>
      </c>
      <c r="E6" s="15" t="inlineStr">
        <is>
          <t>97412</t>
        </is>
      </c>
      <c r="F6" s="15" t="inlineStr">
        <is>
          <t>Bras-Panon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Agent de quai / Réception-expédition</t>
        </is>
      </c>
      <c r="Q6" s="15" t="inlineStr">
        <is>
          <t>P3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/>
    </row>
    <row r="7" ht="46" customHeight="1">
      <c r="A7" s="9" t="n">
        <v>3</v>
      </c>
      <c r="B7" s="10" t="inlineStr">
        <is>
          <t>WIN LOCATION</t>
        </is>
      </c>
      <c r="C7" s="9" t="inlineStr">
        <is>
          <t>Location (activité à qualifier)</t>
        </is>
      </c>
      <c r="D7" s="11" t="inlineStr">
        <is>
          <t>6 rue des Palmiers</t>
        </is>
      </c>
      <c r="E7" s="9" t="inlineStr">
        <is>
          <t>97412</t>
        </is>
      </c>
      <c r="F7" s="9" t="inlineStr">
        <is>
          <t>Bras-Panon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Magasinier / Gestion des stocks</t>
        </is>
      </c>
      <c r="Q7" s="9" t="inlineStr">
        <is>
          <t>P3</t>
        </is>
      </c>
      <c r="R7" s="9" t="inlineStr">
        <is>
          <t>A vérifier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Activité exacte à confirmer via le code APE. Si location de matériel : il y a un parc et un magasin à gérer, donc un vrai poste d'apprenti.</t>
        </is>
      </c>
    </row>
  </sheetData>
  <autoFilter ref="A4:V7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SAINT-BENOÎT</t>
        </is>
      </c>
    </row>
    <row r="2" ht="16" customHeight="1">
      <c r="A2" s="2" t="inlineStr">
        <is>
          <t>Saint-Benoît – ZAC Bras-Fusil, Beaulieu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TRANSPORTS CAMALON (GROUPE CAMALON)</t>
        </is>
      </c>
      <c r="C5" s="9" t="inlineStr">
        <is>
          <t>Transport de fret / Matières dangereuses</t>
        </is>
      </c>
      <c r="D5" s="11" t="inlineStr">
        <is>
          <t>A VERIFIER</t>
        </is>
      </c>
      <c r="E5" s="9" t="inlineStr">
        <is>
          <t>97470</t>
        </is>
      </c>
      <c r="F5" s="9" t="inlineStr">
        <is>
          <t>Saint-Benoît</t>
        </is>
      </c>
      <c r="G5" s="12" t="inlineStr">
        <is>
          <t>A VERIFIER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13" t="inlineStr">
        <is>
          <t>https://www.groupe-camalon.com/</t>
        </is>
      </c>
      <c r="P5" s="11" t="inlineStr">
        <is>
          <t>Opérateur logistique / Prépa. commandes</t>
        </is>
      </c>
      <c r="Q5" s="9" t="inlineStr">
        <is>
          <t>P1</t>
        </is>
      </c>
      <c r="R5" s="9" t="inlineStr">
        <is>
          <t>Source annuaire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Créée en 1990. Denrées alimentaires, agrégats, ADR. Site : groupe-camalon.com — structure solide, très bon potentiel tuteur.</t>
        </is>
      </c>
    </row>
    <row r="6" ht="46" customHeight="1">
      <c r="A6" s="15" t="n">
        <v>2</v>
      </c>
      <c r="B6" s="16" t="inlineStr">
        <is>
          <t>TRANS'COOP O.I</t>
        </is>
      </c>
      <c r="C6" s="15" t="inlineStr">
        <is>
          <t>Transport routier de marchandises</t>
        </is>
      </c>
      <c r="D6" s="17" t="inlineStr">
        <is>
          <t>A VERIFIER</t>
        </is>
      </c>
      <c r="E6" s="15" t="inlineStr">
        <is>
          <t>97470</t>
        </is>
      </c>
      <c r="F6" s="15" t="inlineStr">
        <is>
          <t>Saint-Benoît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9" t="inlineStr">
        <is>
          <t>https://www.transcoopoi.re/</t>
        </is>
      </c>
      <c r="P6" s="17" t="inlineStr">
        <is>
          <t>Agent de quai / Réception-expédition</t>
        </is>
      </c>
      <c r="Q6" s="15" t="inlineStr">
        <is>
          <t>P1</t>
        </is>
      </c>
      <c r="R6" s="15" t="inlineStr">
        <is>
          <t>Source annuaire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>
        <is>
          <t>Site : transcoopoi.re</t>
        </is>
      </c>
    </row>
    <row r="7" ht="46" customHeight="1">
      <c r="A7" s="9" t="n">
        <v>3</v>
      </c>
      <c r="B7" s="10" t="inlineStr">
        <is>
          <t>GROUPE HOSPITALIER EST RÉUNION (GHER)</t>
        </is>
      </c>
      <c r="C7" s="9" t="inlineStr">
        <is>
          <t>Logistique hospitalière / Magasin</t>
        </is>
      </c>
      <c r="D7" s="11" t="inlineStr">
        <is>
          <t>30 RN3 – ZAC Madeleine, Bras-Fusil</t>
        </is>
      </c>
      <c r="E7" s="9" t="inlineStr">
        <is>
          <t>97470</t>
        </is>
      </c>
      <c r="F7" s="9" t="inlineStr">
        <is>
          <t>Saint-Benoît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Magasinier / Gestion des stocks</t>
        </is>
      </c>
      <c r="Q7" s="9" t="inlineStr">
        <is>
          <t>P1</t>
        </is>
      </c>
      <c r="R7" s="9" t="inlineStr">
        <is>
          <t>Source annuaire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Employeur public : apprentissage possible dans la fonction publique hospitalière. Magasin général, pharmacie, flux de médicaments et équipements.</t>
        </is>
      </c>
    </row>
    <row r="8" ht="46" customHeight="1">
      <c r="A8" s="15" t="n">
        <v>4</v>
      </c>
      <c r="B8" s="16" t="inlineStr">
        <is>
          <t>CARREFOUR SAINT-BENOÎT</t>
        </is>
      </c>
      <c r="C8" s="15" t="inlineStr">
        <is>
          <t>Grande distribution – réserve</t>
        </is>
      </c>
      <c r="D8" s="17" t="inlineStr">
        <is>
          <t>6 chemin Goyaves</t>
        </is>
      </c>
      <c r="E8" s="15" t="inlineStr">
        <is>
          <t>97470</t>
        </is>
      </c>
      <c r="F8" s="15" t="inlineStr">
        <is>
          <t>Saint-Benoît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5" t="inlineStr">
        <is>
          <t>A COMPLETER</t>
        </is>
      </c>
      <c r="P8" s="17" t="inlineStr">
        <is>
          <t>Employé logistique en magasin</t>
        </is>
      </c>
      <c r="Q8" s="15" t="inlineStr">
        <is>
          <t>P1</t>
        </is>
      </c>
      <c r="R8" s="15" t="inlineStr">
        <is>
          <t>Source annuaire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>
        <is>
          <t>Hyper : réception, réserve, drive. Passer par le directeur de magasin + RH régionale.</t>
        </is>
      </c>
    </row>
    <row r="9" ht="46" customHeight="1">
      <c r="A9" s="9" t="n">
        <v>5</v>
      </c>
      <c r="B9" s="10" t="inlineStr">
        <is>
          <t>SUPER U CHANE FAT</t>
        </is>
      </c>
      <c r="C9" s="9" t="inlineStr">
        <is>
          <t>Grande distribution – réserve</t>
        </is>
      </c>
      <c r="D9" s="11" t="inlineStr">
        <is>
          <t>1 rue Louis Brunet</t>
        </is>
      </c>
      <c r="E9" s="9" t="inlineStr">
        <is>
          <t>97470</t>
        </is>
      </c>
      <c r="F9" s="9" t="inlineStr">
        <is>
          <t>Saint-Benoît</t>
        </is>
      </c>
      <c r="G9" s="12" t="inlineStr">
        <is>
          <t>A VERIFIER</t>
        </is>
      </c>
      <c r="H9" s="9" t="inlineStr">
        <is>
          <t>A VERIFIER</t>
        </is>
      </c>
      <c r="I9" s="11" t="inlineStr">
        <is>
          <t>A VERIFIER</t>
        </is>
      </c>
      <c r="J9" s="9" t="inlineStr">
        <is>
          <t>A COMPLETER</t>
        </is>
      </c>
      <c r="K9" s="9" t="inlineStr">
        <is>
          <t>A COMPLETER</t>
        </is>
      </c>
      <c r="L9" s="9" t="inlineStr">
        <is>
          <t>Dirigeant / DG</t>
        </is>
      </c>
      <c r="M9" s="12" t="inlineStr">
        <is>
          <t>A COMPLETER</t>
        </is>
      </c>
      <c r="N9" s="9" t="inlineStr">
        <is>
          <t>A COMPLETER</t>
        </is>
      </c>
      <c r="O9" s="9" t="inlineStr">
        <is>
          <t>A COMPLETER</t>
        </is>
      </c>
      <c r="P9" s="11" t="inlineStr">
        <is>
          <t>Employé logistique en magasin</t>
        </is>
      </c>
      <c r="Q9" s="9" t="inlineStr">
        <is>
          <t>P2</t>
        </is>
      </c>
      <c r="R9" s="9" t="inlineStr">
        <is>
          <t>Source annuaire</t>
        </is>
      </c>
      <c r="S9" s="13" t="inlineStr">
        <is>
          <t>Ouvrir la fiche entreprise</t>
        </is>
      </c>
      <c r="T9" s="9" t="inlineStr">
        <is>
          <t>A contacter</t>
        </is>
      </c>
      <c r="U9" s="14" t="inlineStr"/>
      <c r="V9" s="11" t="inlineStr">
        <is>
          <t>Franchise indépendante : décision rapide, parler directement au dirigeant.</t>
        </is>
      </c>
    </row>
    <row r="10" ht="46" customHeight="1">
      <c r="A10" s="15" t="n">
        <v>6</v>
      </c>
      <c r="B10" s="16" t="inlineStr">
        <is>
          <t>TRANSPORT ROUTIER LEGROS</t>
        </is>
      </c>
      <c r="C10" s="15" t="inlineStr">
        <is>
          <t>Transport routier de fret interurbain</t>
        </is>
      </c>
      <c r="D10" s="17" t="inlineStr">
        <is>
          <t>800 chemin Commence</t>
        </is>
      </c>
      <c r="E10" s="15" t="inlineStr">
        <is>
          <t>97437</t>
        </is>
      </c>
      <c r="F10" s="15" t="inlineStr">
        <is>
          <t>Sainte-Anne (Saint-Benoît)</t>
        </is>
      </c>
      <c r="G10" s="18" t="inlineStr">
        <is>
          <t>A VERIFIER</t>
        </is>
      </c>
      <c r="H10" s="15" t="inlineStr">
        <is>
          <t>A VERIFIER</t>
        </is>
      </c>
      <c r="I10" s="17" t="inlineStr">
        <is>
          <t>A VERIFIER</t>
        </is>
      </c>
      <c r="J10" s="15" t="inlineStr">
        <is>
          <t>A COMPLETER</t>
        </is>
      </c>
      <c r="K10" s="15" t="inlineStr">
        <is>
          <t>A COMPLETER</t>
        </is>
      </c>
      <c r="L10" s="15" t="inlineStr">
        <is>
          <t>Dirigeant / DG</t>
        </is>
      </c>
      <c r="M10" s="18" t="inlineStr">
        <is>
          <t>A COMPLETER</t>
        </is>
      </c>
      <c r="N10" s="15" t="inlineStr">
        <is>
          <t>A COMPLETER</t>
        </is>
      </c>
      <c r="O10" s="15" t="inlineStr">
        <is>
          <t>A COMPLETER</t>
        </is>
      </c>
      <c r="P10" s="17" t="inlineStr">
        <is>
          <t>Opérateur logistique / Prépa. commandes</t>
        </is>
      </c>
      <c r="Q10" s="15" t="inlineStr">
        <is>
          <t>P2</t>
        </is>
      </c>
      <c r="R10" s="15" t="inlineStr">
        <is>
          <t>Source annuaire</t>
        </is>
      </c>
      <c r="S10" s="19" t="inlineStr">
        <is>
          <t>Ouvrir la fiche entreprise</t>
        </is>
      </c>
      <c r="T10" s="15" t="inlineStr">
        <is>
          <t>A contacter</t>
        </is>
      </c>
      <c r="U10" s="20" t="inlineStr"/>
      <c r="V10" s="17" t="inlineStr">
        <is>
          <t>SARL créée en 2021, transports routiers de fret interurbains. Structure jeune : argument « formez dès maintenant votre futur exploitant / préparateur ».</t>
        </is>
      </c>
    </row>
  </sheetData>
  <autoFilter ref="A4:V10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S5" r:id="rId2"/>
    <hyperlink xmlns:r="http://schemas.openxmlformats.org/officeDocument/2006/relationships" ref="O6" r:id="rId3"/>
    <hyperlink xmlns:r="http://schemas.openxmlformats.org/officeDocument/2006/relationships" ref="S6" r:id="rId4"/>
    <hyperlink xmlns:r="http://schemas.openxmlformats.org/officeDocument/2006/relationships" ref="S7" r:id="rId5"/>
    <hyperlink xmlns:r="http://schemas.openxmlformats.org/officeDocument/2006/relationships" ref="S8" r:id="rId6"/>
    <hyperlink xmlns:r="http://schemas.openxmlformats.org/officeDocument/2006/relationships" ref="S9" r:id="rId7"/>
    <hyperlink xmlns:r="http://schemas.openxmlformats.org/officeDocument/2006/relationships" ref="S10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8" customWidth="1" min="4" max="4"/>
    <col width="7" customWidth="1" min="5" max="5"/>
    <col width="18" customWidth="1" min="6" max="6"/>
    <col width="20" customWidth="1" min="7" max="7"/>
    <col width="10" customWidth="1" min="8" max="8"/>
    <col width="32" customWidth="1" min="9" max="9"/>
    <col width="22" customWidth="1" min="10" max="10"/>
    <col width="24" customWidth="1" min="11" max="11"/>
    <col width="16" customWidth="1" min="12" max="12"/>
    <col width="16" customWidth="1" min="13" max="13"/>
    <col width="30" customWidth="1" min="14" max="14"/>
    <col width="26" customWidth="1" min="15" max="15"/>
    <col width="30" customWidth="1" min="16" max="16"/>
    <col width="9" customWidth="1" min="17" max="17"/>
    <col width="16" customWidth="1" min="18" max="18"/>
    <col width="34" customWidth="1" min="19" max="19"/>
    <col width="20" customWidth="1" min="20" max="20"/>
    <col width="18" customWidth="1" min="21" max="21"/>
    <col width="40" customWidth="1" min="22" max="22"/>
  </cols>
  <sheetData>
    <row r="1" ht="24" customHeight="1">
      <c r="A1" s="7" t="inlineStr">
        <is>
          <t>PROSPECTION LOGISTIQUE – SAINTE-ROSE &amp; HAUTEURS</t>
        </is>
      </c>
    </row>
    <row r="2" ht="16" customHeight="1">
      <c r="A2" s="2" t="inlineStr">
        <is>
          <t>Sainte-Rose, La Plaine-des-Palmistes, Salazie, hauteurs de Saint-Denis</t>
        </is>
      </c>
    </row>
    <row r="4" ht="34" customHeight="1">
      <c r="A4" s="8" t="inlineStr">
        <is>
          <t>N°</t>
        </is>
      </c>
      <c r="B4" s="8" t="inlineStr">
        <is>
          <t>Raison sociale / Enseigne</t>
        </is>
      </c>
      <c r="C4" s="8" t="inlineStr">
        <is>
          <t>Segment logistique</t>
        </is>
      </c>
      <c r="D4" s="8" t="inlineStr">
        <is>
          <t>Adresse</t>
        </is>
      </c>
      <c r="E4" s="8" t="inlineStr">
        <is>
          <t>CP</t>
        </is>
      </c>
      <c r="F4" s="8" t="inlineStr">
        <is>
          <t>Commune</t>
        </is>
      </c>
      <c r="G4" s="8" t="inlineStr">
        <is>
          <t>SIRET (14 chiffres)</t>
        </is>
      </c>
      <c r="H4" s="8" t="inlineStr">
        <is>
          <t>Code APE</t>
        </is>
      </c>
      <c r="I4" s="8" t="inlineStr">
        <is>
          <t>Libellé APE</t>
        </is>
      </c>
      <c r="J4" s="8" t="inlineStr">
        <is>
          <t>Effectif (tranche INSEE)</t>
        </is>
      </c>
      <c r="K4" s="8" t="inlineStr">
        <is>
          <t>Dirigeant (Nom Prénom)</t>
        </is>
      </c>
      <c r="L4" s="8" t="inlineStr">
        <is>
          <t>Fonction</t>
        </is>
      </c>
      <c r="M4" s="8" t="inlineStr">
        <is>
          <t>Téléphone</t>
        </is>
      </c>
      <c r="N4" s="8" t="inlineStr">
        <is>
          <t>Email contact</t>
        </is>
      </c>
      <c r="O4" s="8" t="inlineStr">
        <is>
          <t>Site web</t>
        </is>
      </c>
      <c r="P4" s="8" t="inlineStr">
        <is>
          <t>Poste apprenti visé</t>
        </is>
      </c>
      <c r="Q4" s="8" t="inlineStr">
        <is>
          <t>Priorité</t>
        </is>
      </c>
      <c r="R4" s="8" t="inlineStr">
        <is>
          <t>Fiabilité donnée</t>
        </is>
      </c>
      <c r="S4" s="8" t="inlineStr">
        <is>
          <t>Vérifier SIRET / APE / Dirigeant</t>
        </is>
      </c>
      <c r="T4" s="8" t="inlineStr">
        <is>
          <t>Statut prospection</t>
        </is>
      </c>
      <c r="U4" s="8" t="inlineStr">
        <is>
          <t>Date dernier contact</t>
        </is>
      </c>
      <c r="V4" s="8" t="inlineStr">
        <is>
          <t>Notes</t>
        </is>
      </c>
    </row>
    <row r="5" ht="46" customHeight="1">
      <c r="A5" s="9" t="n">
        <v>1</v>
      </c>
      <c r="B5" s="10" t="inlineStr">
        <is>
          <t>À prospecter – ZA de Sainte-Rose</t>
        </is>
      </c>
      <c r="C5" s="9" t="inlineStr">
        <is>
          <t>Terrain à défricher</t>
        </is>
      </c>
      <c r="D5" s="11" t="inlineStr">
        <is>
          <t>Zone d'activités / commerces de la commune</t>
        </is>
      </c>
      <c r="E5" s="9" t="inlineStr">
        <is>
          <t>97439</t>
        </is>
      </c>
      <c r="F5" s="9" t="inlineStr">
        <is>
          <t>Sainte-Rose</t>
        </is>
      </c>
      <c r="G5" s="12" t="inlineStr">
        <is>
          <t>A VERIFIER</t>
        </is>
      </c>
      <c r="H5" s="9" t="inlineStr">
        <is>
          <t>A VERIFIER</t>
        </is>
      </c>
      <c r="I5" s="11" t="inlineStr">
        <is>
          <t>A VERIFIER</t>
        </is>
      </c>
      <c r="J5" s="9" t="inlineStr">
        <is>
          <t>A COMPLETER</t>
        </is>
      </c>
      <c r="K5" s="9" t="inlineStr">
        <is>
          <t>A COMPLETER</t>
        </is>
      </c>
      <c r="L5" s="9" t="inlineStr">
        <is>
          <t>Dirigeant / DG</t>
        </is>
      </c>
      <c r="M5" s="12" t="inlineStr">
        <is>
          <t>A COMPLETER</t>
        </is>
      </c>
      <c r="N5" s="9" t="inlineStr">
        <is>
          <t>A COMPLETER</t>
        </is>
      </c>
      <c r="O5" s="9" t="inlineStr">
        <is>
          <t>A COMPLETER</t>
        </is>
      </c>
      <c r="P5" s="11" t="inlineStr">
        <is>
          <t>Employé logistique en magasin</t>
        </is>
      </c>
      <c r="Q5" s="9" t="inlineStr">
        <is>
          <t>P3</t>
        </is>
      </c>
      <c r="R5" s="9" t="inlineStr">
        <is>
          <t>A vérifier</t>
        </is>
      </c>
      <c r="S5" s="13" t="inlineStr">
        <is>
          <t>Ouvrir la fiche entreprise</t>
        </is>
      </c>
      <c r="T5" s="9" t="inlineStr">
        <is>
          <t>A contacter</t>
        </is>
      </c>
      <c r="U5" s="14" t="inlineStr"/>
      <c r="V5" s="11" t="inlineStr">
        <is>
          <t>Aucune entreprise logistique pure identifiée en source ouverte. Cibler : supérettes, négoces de matériaux, transporteurs indépendants. Méthode : mairie + agence Pôle emploi / France Travail de Saint-Benoît.</t>
        </is>
      </c>
    </row>
    <row r="6" ht="46" customHeight="1">
      <c r="A6" s="15" t="n">
        <v>2</v>
      </c>
      <c r="B6" s="16" t="inlineStr">
        <is>
          <t>À prospecter – La Plaine-des-Palmistes</t>
        </is>
      </c>
      <c r="C6" s="15" t="inlineStr">
        <is>
          <t>Terrain à défricher</t>
        </is>
      </c>
      <c r="D6" s="17" t="inlineStr">
        <is>
          <t>A VERIFIER</t>
        </is>
      </c>
      <c r="E6" s="15" t="inlineStr">
        <is>
          <t>97431</t>
        </is>
      </c>
      <c r="F6" s="15" t="inlineStr">
        <is>
          <t>La Plaine-des-Palmistes</t>
        </is>
      </c>
      <c r="G6" s="18" t="inlineStr">
        <is>
          <t>A VERIFIER</t>
        </is>
      </c>
      <c r="H6" s="15" t="inlineStr">
        <is>
          <t>A VERIFIER</t>
        </is>
      </c>
      <c r="I6" s="17" t="inlineStr">
        <is>
          <t>A VERIFIER</t>
        </is>
      </c>
      <c r="J6" s="15" t="inlineStr">
        <is>
          <t>A COMPLETER</t>
        </is>
      </c>
      <c r="K6" s="15" t="inlineStr">
        <is>
          <t>A COMPLETER</t>
        </is>
      </c>
      <c r="L6" s="15" t="inlineStr">
        <is>
          <t>Dirigeant / DG</t>
        </is>
      </c>
      <c r="M6" s="18" t="inlineStr">
        <is>
          <t>A COMPLETER</t>
        </is>
      </c>
      <c r="N6" s="15" t="inlineStr">
        <is>
          <t>A COMPLETER</t>
        </is>
      </c>
      <c r="O6" s="15" t="inlineStr">
        <is>
          <t>A COMPLETER</t>
        </is>
      </c>
      <c r="P6" s="17" t="inlineStr">
        <is>
          <t>Employé logistique en magasin</t>
        </is>
      </c>
      <c r="Q6" s="15" t="inlineStr">
        <is>
          <t>P3</t>
        </is>
      </c>
      <c r="R6" s="15" t="inlineStr">
        <is>
          <t>A vérifier</t>
        </is>
      </c>
      <c r="S6" s="19" t="inlineStr">
        <is>
          <t>Ouvrir la fiche entreprise</t>
        </is>
      </c>
      <c r="T6" s="15" t="inlineStr">
        <is>
          <t>A contacter</t>
        </is>
      </c>
      <c r="U6" s="20" t="inlineStr"/>
      <c r="V6" s="17" t="inlineStr">
        <is>
          <t>Commerces de proximité, artisans, transport de matériaux. Faible densité logistique.</t>
        </is>
      </c>
    </row>
    <row r="7" ht="46" customHeight="1">
      <c r="A7" s="9" t="n">
        <v>3</v>
      </c>
      <c r="B7" s="10" t="inlineStr">
        <is>
          <t>À prospecter – Salazie (hauteurs)</t>
        </is>
      </c>
      <c r="C7" s="9" t="inlineStr">
        <is>
          <t>Terrain à défricher</t>
        </is>
      </c>
      <c r="D7" s="11" t="inlineStr">
        <is>
          <t>A VERIFIER</t>
        </is>
      </c>
      <c r="E7" s="9" t="inlineStr">
        <is>
          <t>97433</t>
        </is>
      </c>
      <c r="F7" s="9" t="inlineStr">
        <is>
          <t>Salazie</t>
        </is>
      </c>
      <c r="G7" s="12" t="inlineStr">
        <is>
          <t>A VERIFIER</t>
        </is>
      </c>
      <c r="H7" s="9" t="inlineStr">
        <is>
          <t>A VERIFIER</t>
        </is>
      </c>
      <c r="I7" s="11" t="inlineStr">
        <is>
          <t>A VERIFIER</t>
        </is>
      </c>
      <c r="J7" s="9" t="inlineStr">
        <is>
          <t>A COMPLETER</t>
        </is>
      </c>
      <c r="K7" s="9" t="inlineStr">
        <is>
          <t>A COMPLETER</t>
        </is>
      </c>
      <c r="L7" s="9" t="inlineStr">
        <is>
          <t>Dirigeant / DG</t>
        </is>
      </c>
      <c r="M7" s="12" t="inlineStr">
        <is>
          <t>A COMPLETER</t>
        </is>
      </c>
      <c r="N7" s="9" t="inlineStr">
        <is>
          <t>A COMPLETER</t>
        </is>
      </c>
      <c r="O7" s="9" t="inlineStr">
        <is>
          <t>A COMPLETER</t>
        </is>
      </c>
      <c r="P7" s="11" t="inlineStr">
        <is>
          <t>Employé logistique en magasin</t>
        </is>
      </c>
      <c r="Q7" s="9" t="inlineStr">
        <is>
          <t>P3</t>
        </is>
      </c>
      <c r="R7" s="9" t="inlineStr">
        <is>
          <t>A vérifier</t>
        </is>
      </c>
      <c r="S7" s="13" t="inlineStr">
        <is>
          <t>Ouvrir la fiche entreprise</t>
        </is>
      </c>
      <c r="T7" s="9" t="inlineStr">
        <is>
          <t>A contacter</t>
        </is>
      </c>
      <c r="U7" s="14" t="inlineStr"/>
      <c r="V7" s="11" t="inlineStr">
        <is>
          <t>Hauteurs : agriculture (chouchou), transport de denrées, coopératives. Contacter la Chambre d'agriculture et les coopératives locales.</t>
        </is>
      </c>
    </row>
    <row r="8" ht="46" customHeight="1">
      <c r="A8" s="15" t="n">
        <v>4</v>
      </c>
      <c r="B8" s="16" t="inlineStr">
        <is>
          <t>À prospecter – Saint-Denis hauteurs (La Montagne, Le Brûlé, Bois-de-Nèfles)</t>
        </is>
      </c>
      <c r="C8" s="15" t="inlineStr">
        <is>
          <t>Terrain à défricher</t>
        </is>
      </c>
      <c r="D8" s="17" t="inlineStr">
        <is>
          <t>A VERIFIER</t>
        </is>
      </c>
      <c r="E8" s="15" t="inlineStr">
        <is>
          <t>97400</t>
        </is>
      </c>
      <c r="F8" s="15" t="inlineStr">
        <is>
          <t>Saint-Denis (hauteurs)</t>
        </is>
      </c>
      <c r="G8" s="18" t="inlineStr">
        <is>
          <t>A VERIFIER</t>
        </is>
      </c>
      <c r="H8" s="15" t="inlineStr">
        <is>
          <t>A VERIFIER</t>
        </is>
      </c>
      <c r="I8" s="17" t="inlineStr">
        <is>
          <t>A VERIFIER</t>
        </is>
      </c>
      <c r="J8" s="15" t="inlineStr">
        <is>
          <t>A COMPLETER</t>
        </is>
      </c>
      <c r="K8" s="15" t="inlineStr">
        <is>
          <t>A COMPLETER</t>
        </is>
      </c>
      <c r="L8" s="15" t="inlineStr">
        <is>
          <t>Dirigeant / DG</t>
        </is>
      </c>
      <c r="M8" s="18" t="inlineStr">
        <is>
          <t>A COMPLETER</t>
        </is>
      </c>
      <c r="N8" s="15" t="inlineStr">
        <is>
          <t>A COMPLETER</t>
        </is>
      </c>
      <c r="O8" s="15" t="inlineStr">
        <is>
          <t>A COMPLETER</t>
        </is>
      </c>
      <c r="P8" s="17" t="inlineStr">
        <is>
          <t>Employé logistique en magasin</t>
        </is>
      </c>
      <c r="Q8" s="15" t="inlineStr">
        <is>
          <t>P3</t>
        </is>
      </c>
      <c r="R8" s="15" t="inlineStr">
        <is>
          <t>A vérifier</t>
        </is>
      </c>
      <c r="S8" s="19" t="inlineStr">
        <is>
          <t>Ouvrir la fiche entreprise</t>
        </is>
      </c>
      <c r="T8" s="15" t="inlineStr">
        <is>
          <t>A contacter</t>
        </is>
      </c>
      <c r="U8" s="20" t="inlineStr"/>
      <c r="V8" s="17" t="inlineStr">
        <is>
          <t>Peu de logistique en hauteur : viser les dépôts et commerces de proximité, et les entreprises du bas où les jeunes des hauteurs peuvent se rendre.</t>
        </is>
      </c>
    </row>
  </sheetData>
  <autoFilter ref="A4:V8"/>
  <mergeCells count="2">
    <mergeCell ref="A2:V2"/>
    <mergeCell ref="A1:V1"/>
  </mergeCells>
  <dataValidations count="3">
    <dataValidation sqref="T5:T404" showDropDown="0" showInputMessage="0" showErrorMessage="0" allowBlank="1" type="list">
      <formula1>"A contacter,Message laissé,RDV pris,Visite faite,Offre déposée,Candidat proposé,Contrat signé,Sans suite"</formula1>
    </dataValidation>
    <dataValidation sqref="Q5:Q404" showDropDown="0" showInputMessage="0" showErrorMessage="0" allowBlank="1" type="list">
      <formula1>"P1,P2,P3"</formula1>
    </dataValidation>
    <dataValidation sqref="R5:R404" showDropDown="0" showInputMessage="0" showErrorMessage="0" allowBlank="1" type="list">
      <formula1>"Vérifié INSEE,Vérifié,Source annuaire,A vérifier"</formula1>
    </dataValidation>
  </dataValidation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7" t="inlineStr">
        <is>
          <t>PILOTAGE DE LA CAMPAGNE</t>
        </is>
      </c>
    </row>
    <row r="2" ht="16" customHeight="1">
      <c r="A2" s="2" t="inlineStr">
        <is>
          <t>Compteurs automatiques – se mettent à jour quand vous remplissez les onglets communes</t>
        </is>
      </c>
    </row>
    <row r="4">
      <c r="A4" s="21" t="inlineStr">
        <is>
          <t>VOLUME PAR COMMUNE</t>
        </is>
      </c>
    </row>
    <row r="5">
      <c r="A5" s="22" t="inlineStr">
        <is>
          <t>Onglet</t>
        </is>
      </c>
      <c r="B5" s="22" t="inlineStr">
        <is>
          <t>Entreprises</t>
        </is>
      </c>
      <c r="C5" s="22" t="inlineStr">
        <is>
          <t>À contacter</t>
        </is>
      </c>
      <c r="D5" s="22" t="inlineStr">
        <is>
          <t>RDV pris</t>
        </is>
      </c>
      <c r="E5" s="22" t="inlineStr">
        <is>
          <t>Contrats signés</t>
        </is>
      </c>
      <c r="F5" s="22" t="inlineStr">
        <is>
          <t>Taux de signature</t>
        </is>
      </c>
    </row>
    <row r="6">
      <c r="A6" s="23" t="inlineStr">
        <is>
          <t>01 Saint-Denis</t>
        </is>
      </c>
      <c r="B6" s="23" t="n">
        <v>17</v>
      </c>
      <c r="C6" s="23">
        <f>COUNTIF('01 Saint-Denis'!$T$5:$T$400,"A contacter")</f>
        <v/>
      </c>
      <c r="D6" s="23">
        <f>COUNTIF('01 Saint-Denis'!$T$5:$T$400,"RDV pris")</f>
        <v/>
      </c>
      <c r="E6" s="23">
        <f>COUNTIF('01 Saint-Denis'!$T$5:$T$400,"Contrat signé")</f>
        <v/>
      </c>
      <c r="F6" s="24">
        <f>IF(B6=0,"",E6/B6)</f>
        <v/>
      </c>
    </row>
    <row r="7">
      <c r="A7" s="23" t="inlineStr">
        <is>
          <t>02 Sainte-Marie</t>
        </is>
      </c>
      <c r="B7" s="23" t="n">
        <v>17</v>
      </c>
      <c r="C7" s="23">
        <f>COUNTIF('02 Sainte-Marie'!$T$5:$T$400,"A contacter")</f>
        <v/>
      </c>
      <c r="D7" s="23">
        <f>COUNTIF('02 Sainte-Marie'!$T$5:$T$400,"RDV pris")</f>
        <v/>
      </c>
      <c r="E7" s="23">
        <f>COUNTIF('02 Sainte-Marie'!$T$5:$T$400,"Contrat signé")</f>
        <v/>
      </c>
      <c r="F7" s="24">
        <f>IF(B7=0,"",E7/B7)</f>
        <v/>
      </c>
    </row>
    <row r="8">
      <c r="A8" s="23" t="inlineStr">
        <is>
          <t>03 Sainte-Suzanne</t>
        </is>
      </c>
      <c r="B8" s="23" t="n">
        <v>4</v>
      </c>
      <c r="C8" s="23">
        <f>COUNTIF('03 Sainte-Suzanne'!$T$5:$T$400,"A contacter")</f>
        <v/>
      </c>
      <c r="D8" s="23">
        <f>COUNTIF('03 Sainte-Suzanne'!$T$5:$T$400,"RDV pris")</f>
        <v/>
      </c>
      <c r="E8" s="23">
        <f>COUNTIF('03 Sainte-Suzanne'!$T$5:$T$400,"Contrat signé")</f>
        <v/>
      </c>
      <c r="F8" s="24">
        <f>IF(B8=0,"",E8/B8)</f>
        <v/>
      </c>
    </row>
    <row r="9">
      <c r="A9" s="23" t="inlineStr">
        <is>
          <t>04 Saint-André</t>
        </is>
      </c>
      <c r="B9" s="23" t="n">
        <v>9</v>
      </c>
      <c r="C9" s="23">
        <f>COUNTIF('04 Saint-André'!$T$5:$T$400,"A contacter")</f>
        <v/>
      </c>
      <c r="D9" s="23">
        <f>COUNTIF('04 Saint-André'!$T$5:$T$400,"RDV pris")</f>
        <v/>
      </c>
      <c r="E9" s="23">
        <f>COUNTIF('04 Saint-André'!$T$5:$T$400,"Contrat signé")</f>
        <v/>
      </c>
      <c r="F9" s="24">
        <f>IF(B9=0,"",E9/B9)</f>
        <v/>
      </c>
    </row>
    <row r="10">
      <c r="A10" s="23" t="inlineStr">
        <is>
          <t>05 Bras-Panon</t>
        </is>
      </c>
      <c r="B10" s="23" t="n">
        <v>3</v>
      </c>
      <c r="C10" s="23">
        <f>COUNTIF('05 Bras-Panon'!$T$5:$T$400,"A contacter")</f>
        <v/>
      </c>
      <c r="D10" s="23">
        <f>COUNTIF('05 Bras-Panon'!$T$5:$T$400,"RDV pris")</f>
        <v/>
      </c>
      <c r="E10" s="23">
        <f>COUNTIF('05 Bras-Panon'!$T$5:$T$400,"Contrat signé")</f>
        <v/>
      </c>
      <c r="F10" s="24">
        <f>IF(B10=0,"",E10/B10)</f>
        <v/>
      </c>
    </row>
    <row r="11">
      <c r="A11" s="23" t="inlineStr">
        <is>
          <t>06 Saint-Benoît</t>
        </is>
      </c>
      <c r="B11" s="23" t="n">
        <v>6</v>
      </c>
      <c r="C11" s="23">
        <f>COUNTIF('06 Saint-Benoît'!$T$5:$T$400,"A contacter")</f>
        <v/>
      </c>
      <c r="D11" s="23">
        <f>COUNTIF('06 Saint-Benoît'!$T$5:$T$400,"RDV pris")</f>
        <v/>
      </c>
      <c r="E11" s="23">
        <f>COUNTIF('06 Saint-Benoît'!$T$5:$T$400,"Contrat signé")</f>
        <v/>
      </c>
      <c r="F11" s="24">
        <f>IF(B11=0,"",E11/B11)</f>
        <v/>
      </c>
    </row>
    <row r="12">
      <c r="A12" s="23" t="inlineStr">
        <is>
          <t>07 Sainte-Rose &amp; Hauteurs</t>
        </is>
      </c>
      <c r="B12" s="23" t="n">
        <v>4</v>
      </c>
      <c r="C12" s="23">
        <f>COUNTIF('07 Sainte-Rose &amp; Hauteurs'!$T$5:$T$400,"A contacter")</f>
        <v/>
      </c>
      <c r="D12" s="23">
        <f>COUNTIF('07 Sainte-Rose &amp; Hauteurs'!$T$5:$T$400,"RDV pris")</f>
        <v/>
      </c>
      <c r="E12" s="23">
        <f>COUNTIF('07 Sainte-Rose &amp; Hauteurs'!$T$5:$T$400,"Contrat signé")</f>
        <v/>
      </c>
      <c r="F12" s="24">
        <f>IF(B12=0,"",E12/B12)</f>
        <v/>
      </c>
    </row>
    <row r="13">
      <c r="A13" s="25" t="inlineStr">
        <is>
          <t>TOTAL BASSIN NORD-EST</t>
        </is>
      </c>
      <c r="B13" s="25">
        <f>SUM(B6:B12)</f>
        <v/>
      </c>
      <c r="C13" s="25">
        <f>SUM(C6:C12)</f>
        <v/>
      </c>
      <c r="D13" s="25">
        <f>SUM(D6:D12)</f>
        <v/>
      </c>
      <c r="E13" s="25">
        <f>SUM(E6:E12)</f>
        <v/>
      </c>
      <c r="F13" s="26">
        <f>IF(B13=0,"",E13/B13)</f>
        <v/>
      </c>
    </row>
    <row r="16">
      <c r="A16" s="21" t="inlineStr">
        <is>
          <t>OBJECTIFS DE LA CAMPAGNE</t>
        </is>
      </c>
    </row>
    <row r="17">
      <c r="A17" s="27" t="inlineStr">
        <is>
          <t>Appels à passer / semaine</t>
        </is>
      </c>
      <c r="B17" s="28" t="inlineStr">
        <is>
          <t>30</t>
        </is>
      </c>
    </row>
    <row r="18">
      <c r="A18" s="27" t="inlineStr">
        <is>
          <t>RDV entreprise / semaine</t>
        </is>
      </c>
      <c r="B18" s="28" t="inlineStr">
        <is>
          <t>5</t>
        </is>
      </c>
    </row>
    <row r="19">
      <c r="A19" s="27" t="inlineStr">
        <is>
          <t>Offres d'apprentissage à collecter</t>
        </is>
      </c>
      <c r="B19" s="28" t="inlineStr">
        <is>
          <t>à définir</t>
        </is>
      </c>
    </row>
    <row r="20">
      <c r="A20" s="27" t="inlineStr">
        <is>
          <t>Ratio moyen observé</t>
        </is>
      </c>
      <c r="B20" s="28" t="inlineStr">
        <is>
          <t>≈ 10 appels → 2 RDV → 1 offre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  <col width="14" customWidth="1" min="4" max="4"/>
  </cols>
  <sheetData>
    <row r="1" ht="24" customHeight="1">
      <c r="A1" s="7" t="inlineStr">
        <is>
          <t>CODES APE / NAF À CIBLER</t>
        </is>
      </c>
    </row>
    <row r="2" ht="16" customHeight="1">
      <c r="A2" s="2" t="inlineStr">
        <is>
          <t>Pour élargir vous-même le fichier depuis annuaire-entreprises.data.gouv.fr (filtre « activité »)</t>
        </is>
      </c>
    </row>
    <row r="4">
      <c r="A4" s="22" t="inlineStr">
        <is>
          <t>Code APE</t>
        </is>
      </c>
      <c r="B4" s="22" t="inlineStr">
        <is>
          <t>Libellé officiel</t>
        </is>
      </c>
      <c r="C4" s="22" t="inlineStr">
        <is>
          <t>Pourquoi c'est une cible apprentissage</t>
        </is>
      </c>
      <c r="D4" s="22" t="inlineStr">
        <is>
          <t>Priorité</t>
        </is>
      </c>
    </row>
    <row r="5">
      <c r="A5" s="10" t="inlineStr">
        <is>
          <t>52.10A</t>
        </is>
      </c>
      <c r="B5" s="11" t="inlineStr">
        <is>
          <t>Entreposage et stockage frigorifique</t>
        </is>
      </c>
      <c r="C5" s="11" t="inlineStr">
        <is>
          <t>Cœur de cible : préparation de commandes, magasinage</t>
        </is>
      </c>
      <c r="D5" s="11" t="inlineStr">
        <is>
          <t>P1</t>
        </is>
      </c>
    </row>
    <row r="6">
      <c r="A6" s="16" t="inlineStr">
        <is>
          <t>52.10B</t>
        </is>
      </c>
      <c r="B6" s="17" t="inlineStr">
        <is>
          <t>Entreposage et stockage non frigorifique</t>
        </is>
      </c>
      <c r="C6" s="17" t="inlineStr">
        <is>
          <t>Cœur de cible : entrepôts, plateformes</t>
        </is>
      </c>
      <c r="D6" s="17" t="inlineStr">
        <is>
          <t>P1</t>
        </is>
      </c>
    </row>
    <row r="7">
      <c r="A7" s="10" t="inlineStr">
        <is>
          <t>52.24A</t>
        </is>
      </c>
      <c r="B7" s="11" t="inlineStr">
        <is>
          <t>Manutention portuaire</t>
        </is>
      </c>
      <c r="C7" s="11" t="inlineStr">
        <is>
          <t>Agent de quai, manutention (plutôt Le Port, à surveiller)</t>
        </is>
      </c>
      <c r="D7" s="11" t="inlineStr">
        <is>
          <t>P2</t>
        </is>
      </c>
    </row>
    <row r="8">
      <c r="A8" s="16" t="inlineStr">
        <is>
          <t>52.24B</t>
        </is>
      </c>
      <c r="B8" s="17" t="inlineStr">
        <is>
          <t>Manutention non portuaire</t>
        </is>
      </c>
      <c r="C8" s="17" t="inlineStr">
        <is>
          <t>Agent de quai, chargement/déchargement</t>
        </is>
      </c>
      <c r="D8" s="17" t="inlineStr">
        <is>
          <t>P1</t>
        </is>
      </c>
    </row>
    <row r="9">
      <c r="A9" s="10" t="inlineStr">
        <is>
          <t>52.29A</t>
        </is>
      </c>
      <c r="B9" s="11" t="inlineStr">
        <is>
          <t>Messagerie, fret express</t>
        </is>
      </c>
      <c r="C9" s="11" t="inlineStr">
        <is>
          <t>Tri, quai, expédition : très gros besoin en alternance</t>
        </is>
      </c>
      <c r="D9" s="11" t="inlineStr">
        <is>
          <t>P1</t>
        </is>
      </c>
    </row>
    <row r="10">
      <c r="A10" s="16" t="inlineStr">
        <is>
          <t>52.29B</t>
        </is>
      </c>
      <c r="B10" s="17" t="inlineStr">
        <is>
          <t>Affrètement et organisation des transports</t>
        </is>
      </c>
      <c r="C10" s="17" t="inlineStr">
        <is>
          <t>Transit, exploitation transport</t>
        </is>
      </c>
      <c r="D10" s="17" t="inlineStr">
        <is>
          <t>P1</t>
        </is>
      </c>
    </row>
    <row r="11">
      <c r="A11" s="10" t="inlineStr">
        <is>
          <t>49.41A</t>
        </is>
      </c>
      <c r="B11" s="11" t="inlineStr">
        <is>
          <t>Transports routiers de fret interurbains</t>
        </is>
      </c>
      <c r="C11" s="11" t="inlineStr">
        <is>
          <t>Exploitation, quai, gestion des tournées</t>
        </is>
      </c>
      <c r="D11" s="11" t="inlineStr">
        <is>
          <t>P1</t>
        </is>
      </c>
    </row>
    <row r="12">
      <c r="A12" s="16" t="inlineStr">
        <is>
          <t>49.41B</t>
        </is>
      </c>
      <c r="B12" s="17" t="inlineStr">
        <is>
          <t>Transports routiers de fret de proximité</t>
        </is>
      </c>
      <c r="C12" s="17" t="inlineStr">
        <is>
          <t>Livraison, préparation de tournées</t>
        </is>
      </c>
      <c r="D12" s="17" t="inlineStr">
        <is>
          <t>P1</t>
        </is>
      </c>
    </row>
    <row r="13">
      <c r="A13" s="10" t="inlineStr">
        <is>
          <t>49.41C</t>
        </is>
      </c>
      <c r="B13" s="11" t="inlineStr">
        <is>
          <t>Location de camions avec chauffeur</t>
        </is>
      </c>
      <c r="C13" s="11" t="inlineStr">
        <is>
          <t>Support logistique, planning</t>
        </is>
      </c>
      <c r="D13" s="11" t="inlineStr">
        <is>
          <t>P2</t>
        </is>
      </c>
    </row>
    <row r="14">
      <c r="A14" s="16" t="inlineStr">
        <is>
          <t>49.42Z</t>
        </is>
      </c>
      <c r="B14" s="17" t="inlineStr">
        <is>
          <t>Services de déménagement</t>
        </is>
      </c>
      <c r="C14" s="17" t="inlineStr">
        <is>
          <t>Manutention, inventaire, gestion de stock</t>
        </is>
      </c>
      <c r="D14" s="17" t="inlineStr">
        <is>
          <t>P2</t>
        </is>
      </c>
    </row>
    <row r="15">
      <c r="A15" s="10" t="inlineStr">
        <is>
          <t>53.20Z</t>
        </is>
      </c>
      <c r="B15" s="11" t="inlineStr">
        <is>
          <t>Autres activités de poste et de courrier</t>
        </is>
      </c>
      <c r="C15" s="11" t="inlineStr">
        <is>
          <t>Tri, distribution de colis</t>
        </is>
      </c>
      <c r="D15" s="11" t="inlineStr">
        <is>
          <t>P1</t>
        </is>
      </c>
    </row>
    <row r="16">
      <c r="A16" s="16" t="inlineStr">
        <is>
          <t>46.xx</t>
        </is>
      </c>
      <c r="B16" s="17" t="inlineStr">
        <is>
          <t>Commerce de gros (négoce)</t>
        </is>
      </c>
      <c r="C16" s="17" t="inlineStr">
        <is>
          <t>Presque tous ont un entrepôt : magasinier, prépa. commandes</t>
        </is>
      </c>
      <c r="D16" s="17" t="inlineStr">
        <is>
          <t>P1</t>
        </is>
      </c>
    </row>
    <row r="17">
      <c r="A17" s="10" t="inlineStr">
        <is>
          <t>47.11D/F</t>
        </is>
      </c>
      <c r="B17" s="11" t="inlineStr">
        <is>
          <t>Supermarchés / Hypermarchés</t>
        </is>
      </c>
      <c r="C17" s="11" t="inlineStr">
        <is>
          <t>Réception, réserve, drive : employé logistique</t>
        </is>
      </c>
      <c r="D17" s="11" t="inlineStr">
        <is>
          <t>P1</t>
        </is>
      </c>
    </row>
    <row r="18">
      <c r="A18" s="16" t="inlineStr">
        <is>
          <t>47.52B</t>
        </is>
      </c>
      <c r="B18" s="17" t="inlineStr">
        <is>
          <t>Commerce de détail de matériaux de construction</t>
        </is>
      </c>
      <c r="C18" s="17" t="inlineStr">
        <is>
          <t>Dépôt, cour matériaux, magasinier-cariste</t>
        </is>
      </c>
      <c r="D18" s="17" t="inlineStr">
        <is>
          <t>P1</t>
        </is>
      </c>
    </row>
    <row r="19">
      <c r="A19" s="10" t="inlineStr">
        <is>
          <t>10.xx / 11.xx</t>
        </is>
      </c>
      <c r="B19" s="11" t="inlineStr">
        <is>
          <t>Industries alimentaires et boissons</t>
        </is>
      </c>
      <c r="C19" s="11" t="inlineStr">
        <is>
          <t>Magasin matières premières, expédition produits finis</t>
        </is>
      </c>
      <c r="D19" s="11" t="inlineStr">
        <is>
          <t>P2</t>
        </is>
      </c>
    </row>
    <row r="20">
      <c r="A20" s="16" t="inlineStr">
        <is>
          <t>86.10Z</t>
        </is>
      </c>
      <c r="B20" s="17" t="inlineStr">
        <is>
          <t>Activités hospitalières</t>
        </is>
      </c>
      <c r="C20" s="17" t="inlineStr">
        <is>
          <t>Magasin général, logistique de soins (apprentissage public)</t>
        </is>
      </c>
      <c r="D20" s="17" t="inlineStr">
        <is>
          <t>P2</t>
        </is>
      </c>
    </row>
    <row r="21">
      <c r="A21" s="10" t="inlineStr">
        <is>
          <t>45.11Z / 45.31Z</t>
        </is>
      </c>
      <c r="B21" s="11" t="inlineStr">
        <is>
          <t>Commerce de véhicules / d'équipements automobiles</t>
        </is>
      </c>
      <c r="C21" s="11" t="inlineStr">
        <is>
          <t>Magasin pièces détachées : magasinier-vendeur</t>
        </is>
      </c>
      <c r="D21" s="11" t="inlineStr">
        <is>
          <t>P2</t>
        </is>
      </c>
    </row>
    <row r="23">
      <c r="A23" s="21" t="inlineStr">
        <is>
          <t>MÉTHODE POUR ÉLARGIR LE FICHIER</t>
        </is>
      </c>
    </row>
    <row r="24">
      <c r="A24" s="27" t="inlineStr">
        <is>
          <t>1. Aller sur https://annuaire-entreprises.data.gouv.fr (gratuit, données officielles INSEE).</t>
        </is>
      </c>
    </row>
    <row r="25">
      <c r="A25" s="27" t="inlineStr">
        <is>
          <t>2. Recherche avancée : saisir le code APE ci-dessus + département 974 + la commune visée.</t>
        </is>
      </c>
    </row>
    <row r="26">
      <c r="A26" s="27" t="inlineStr">
        <is>
          <t>3. La fiche donne : raison sociale, SIRET, code APE, adresse, effectif, et le nom du dirigeant.</t>
        </is>
      </c>
    </row>
    <row r="27">
      <c r="A27" s="27" t="inlineStr">
        <is>
          <t>4. Recopier dans l'onglet de la commune, puis chercher le téléphone/email sur le site de l'entreprise.</t>
        </is>
      </c>
    </row>
    <row r="28">
      <c r="A28" s="27" t="inlineStr">
        <is>
          <t>5. Vérifier aussi que l'établissement est bien « en activité » avant de l'appeler.</t>
        </is>
      </c>
    </row>
    <row r="30">
      <c r="A30" s="29" t="inlineStr">
        <is>
          <t>Ouvrir l'Annuaire des Entreprises</t>
        </is>
      </c>
    </row>
  </sheetData>
  <mergeCells count="7">
    <mergeCell ref="A1:D1"/>
    <mergeCell ref="A27:D27"/>
    <mergeCell ref="A26:D26"/>
    <mergeCell ref="A25:D25"/>
    <mergeCell ref="A24:D24"/>
    <mergeCell ref="A2:D2"/>
    <mergeCell ref="A28:D28"/>
  </mergeCells>
  <hyperlinks>
    <hyperlink xmlns:r="http://schemas.openxmlformats.org/officeDocument/2006/relationships" ref="A30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4" customHeight="1">
      <c r="A1" s="7" t="inlineStr">
        <is>
          <t>SCRIPT D'APPEL &amp; ARGUMENTAIRE EMPLOYEUR</t>
        </is>
      </c>
    </row>
    <row r="2" ht="16" customHeight="1">
      <c r="A2" s="2" t="inlineStr">
        <is>
          <t>Prospection apprentissage – métiers de la logistique</t>
        </is>
      </c>
    </row>
    <row r="4" ht="20" customHeight="1">
      <c r="A4" s="3" t="inlineStr">
        <is>
          <t>1. LE BARRAGE SECRÉTARIAT</t>
        </is>
      </c>
      <c r="B4" s="4" t="n"/>
    </row>
    <row r="5" ht="15" customHeight="1">
      <c r="A5" s="5" t="inlineStr">
        <is>
          <t>Objectif</t>
        </is>
      </c>
      <c r="B5" s="6" t="inlineStr">
        <is>
          <t>Obtenir le nom + la ligne du décideur (gérant, responsable d'exploitation, RH).</t>
        </is>
      </c>
    </row>
    <row r="6" ht="28" customHeight="1">
      <c r="A6" s="5" t="inlineStr">
        <is>
          <t>Phrase</t>
        </is>
      </c>
      <c r="B6" s="6" t="inlineStr">
        <is>
          <t>« Bonjour, [Prénom Nom], je suis chargé des relations entreprises au CFA [nom]. Je cherche la personne qui décide des recrutements en logistique, c'est bien M./Mme [nom du dirigeant] ? »</t>
        </is>
      </c>
    </row>
    <row r="7" ht="28" customHeight="1">
      <c r="A7" s="5" t="inlineStr">
        <is>
          <t>Astuce</t>
        </is>
      </c>
      <c r="B7" s="6" t="inlineStr">
        <is>
          <t>Citer le nom du dirigeant (colonne J) fait sauter le barrage 8 fois sur 10. D'où l'importance de qualifier AVANT d'appeler.</t>
        </is>
      </c>
    </row>
    <row r="8" ht="20" customHeight="1">
      <c r="A8" s="3" t="inlineStr">
        <is>
          <t>2. L'ACCROCHE (30 secondes)</t>
        </is>
      </c>
      <c r="B8" s="4" t="n"/>
    </row>
    <row r="9" ht="42" customHeight="1">
      <c r="A9" s="5" t="inlineStr">
        <is>
          <t>Phrase</t>
        </is>
      </c>
      <c r="B9" s="6" t="inlineStr">
        <is>
          <t>« Je ne vous appelle pas pour vous vendre quelque chose. Je forme des jeunes de 16 à 25 ans aux métiers de la logistique sur le Nord-Est, et je place des apprentis chez des entreprises comme la vôtre. Vous avez déjà accueilli un alternant ? »</t>
        </is>
      </c>
    </row>
    <row r="10" ht="15" customHeight="1">
      <c r="A10" s="5" t="inlineStr">
        <is>
          <t>Pourquoi ça marche</t>
        </is>
      </c>
      <c r="B10" s="6" t="inlineStr">
        <is>
          <t>On annonce qu'on n'est pas un commercial, on cite le territoire, et on termine par une question ouverte.</t>
        </is>
      </c>
    </row>
    <row r="11" ht="20" customHeight="1">
      <c r="A11" s="3" t="inlineStr">
        <is>
          <t>3. LES 5 ARGUMENTS QUI FONT SIGNER</t>
        </is>
      </c>
      <c r="B11" s="4" t="n"/>
    </row>
    <row r="12" ht="42" customHeight="1">
      <c r="A12" s="5" t="inlineStr">
        <is>
          <t>① Le coût</t>
        </is>
      </c>
      <c r="B12" s="6" t="inlineStr">
        <is>
          <t>L'apprentissage est le dispositif le moins coûteux pour recruter. Les aides à l'embauche et les exonérations s'appliquent (montants à vérifier chaque année auprès de l'OPCO — ne jamais annoncer un chiffre non actualisé).</t>
        </is>
      </c>
    </row>
    <row r="13" ht="28" customHeight="1">
      <c r="A13" s="5" t="inlineStr">
        <is>
          <t>② La formation gratuite</t>
        </is>
      </c>
      <c r="B13" s="6" t="inlineStr">
        <is>
          <t>Le coût pédagogique est pris en charge par l'OPCO de l'entreprise. Pour l'employeur, la formation ne sort pas de sa trésorerie.</t>
        </is>
      </c>
    </row>
    <row r="14" ht="28" customHeight="1">
      <c r="A14" s="5" t="inlineStr">
        <is>
          <t>③ Le recrutement sans risque</t>
        </is>
      </c>
      <c r="B14" s="6" t="inlineStr">
        <is>
          <t>L'apprentissage, c'est une période d'essai longue et financée. L'entreprise forme le salarié à SES process, SES logiciels, SES clients.</t>
        </is>
      </c>
    </row>
    <row r="15" ht="28" customHeight="1">
      <c r="A15" s="5" t="inlineStr">
        <is>
          <t>④ La pénurie de main-d'œuvre</t>
        </is>
      </c>
      <c r="B15" s="6" t="inlineStr">
        <is>
          <t>Sur le Nord-Est, les caristes, préparateurs et agents de quai sont difficiles à recruter. Former en interne, c'est sécuriser les 3 ans à venir.</t>
        </is>
      </c>
    </row>
    <row r="16" ht="28" customHeight="1">
      <c r="A16" s="5" t="inlineStr">
        <is>
          <t>⑤ Le zéro-souci administratif</t>
        </is>
      </c>
      <c r="B16" s="6" t="inlineStr">
        <is>
          <t>« Le contrat, le Cerfa, l'OPCO, le suivi : c'est moi qui gère. Vous, vous n'avez qu'à dire oui à un candidat. »</t>
        </is>
      </c>
    </row>
    <row r="17" ht="20" customHeight="1">
      <c r="A17" s="3" t="inlineStr">
        <is>
          <t>4. RÉPONSES AUX OBJECTIONS</t>
        </is>
      </c>
      <c r="B17" s="4" t="n"/>
    </row>
    <row r="18" ht="28" customHeight="1">
      <c r="A18" s="5" t="inlineStr">
        <is>
          <t>« On n'a pas le temps de former »</t>
        </is>
      </c>
      <c r="B18" s="6" t="inlineStr">
        <is>
          <t>« Un apprenti est en entreprise 3 semaines sur 4. Il est opérationnel sur la préparation de commandes en quelques semaines. Et le tuteur, on le forme et on l'accompagne. »</t>
        </is>
      </c>
    </row>
    <row r="19" ht="28" customHeight="1">
      <c r="A19" s="5" t="inlineStr">
        <is>
          <t>« On n'a pas de budget »</t>
        </is>
      </c>
      <c r="B19" s="6" t="inlineStr">
        <is>
          <t>« Justement : c'est le contrat le moins cher du marché, et la formation est financée par votre OPCO. Je vous fais le calcul précis pour votre cas en 10 minutes. »</t>
        </is>
      </c>
    </row>
    <row r="20" ht="28" customHeight="1">
      <c r="A20" s="5" t="inlineStr">
        <is>
          <t>« Les jeunes ne sont pas fiables »</t>
        </is>
      </c>
      <c r="B20" s="6" t="inlineStr">
        <is>
          <t>« C'est pour ça que je fais un pré-recrutement : je vous présente 2 ou 3 candidats déjà testés sur la motivation et la ponctualité. Vous choisissez, ou vous ne choisissez personne. »</t>
        </is>
      </c>
    </row>
    <row r="21" ht="28" customHeight="1">
      <c r="A21" s="5" t="inlineStr">
        <is>
          <t>« On est trop petit »</t>
        </is>
      </c>
      <c r="B21" s="6" t="inlineStr">
        <is>
          <t>« Une entreprise de 3 personnes peut prendre un apprenti. Il faut juste un tuteur qui a le métier — et vous l'avez. »</t>
        </is>
      </c>
    </row>
    <row r="22" ht="42" customHeight="1">
      <c r="A22" s="5" t="inlineStr">
        <is>
          <t>« Rappelez-moi dans 6 mois »</t>
        </is>
      </c>
      <c r="B22" s="6" t="inlineStr">
        <is>
          <t>« Très bien. Je note [date précise]. En attendant je vous envoie une page qui résume les aides, et je vous préviens si j'ai un très bon profil qui habite à côté de chez vous. » → noter la date dans la colonne T de l'onglet commune.</t>
        </is>
      </c>
    </row>
    <row r="23" ht="20" customHeight="1">
      <c r="A23" s="3" t="inlineStr">
        <is>
          <t>5. LA CLÔTURE</t>
        </is>
      </c>
      <c r="B23" s="4" t="n"/>
    </row>
    <row r="24" ht="15" customHeight="1">
      <c r="A24" s="5" t="inlineStr">
        <is>
          <t>Ne jamais raccrocher sans</t>
        </is>
      </c>
      <c r="B24" s="6" t="inlineStr">
        <is>
          <t>① un nom + un email direct, ② une date de relance précise, ③ si possible un RDV de 20 min sur site.</t>
        </is>
      </c>
    </row>
    <row r="25" ht="28" customHeight="1">
      <c r="A25" s="5" t="inlineStr">
        <is>
          <t>Phrase de closing</t>
        </is>
      </c>
      <c r="B25" s="6" t="inlineStr">
        <is>
          <t>« Je passe dans votre secteur [jour]. Je vous montre 2 profils en 15 minutes, vous me dites oui ou non. Ça vous va ? »</t>
        </is>
      </c>
    </row>
    <row r="26" ht="20" customHeight="1">
      <c r="A26" s="3" t="inlineStr">
        <is>
          <t>6. APRÈS L'APPEL – À FAIRE LE JOUR MÊME</t>
        </is>
      </c>
      <c r="B26" s="4" t="n"/>
    </row>
    <row r="27" ht="15" customHeight="1">
      <c r="A27" s="5" t="inlineStr">
        <is>
          <t>Traçabilité</t>
        </is>
      </c>
      <c r="B27" s="6" t="inlineStr">
        <is>
          <t>Remplir « Statut prospection » + « Date dernier contact » + « Notes » dans l'onglet commune.</t>
        </is>
      </c>
    </row>
    <row r="28" ht="28" customHeight="1">
      <c r="A28" s="5" t="inlineStr">
        <is>
          <t>Email de confirmation</t>
        </is>
      </c>
      <c r="B28" s="6" t="inlineStr">
        <is>
          <t>Envoyer sous 2h un mail court : ce qui a été dit, ce que vous envoyez, la date de relance. Ça vous positionne comme un pro.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2" customWidth="1" min="2" max="2"/>
  </cols>
  <sheetData>
    <row r="1" ht="24" customHeight="1">
      <c r="A1" s="7" t="inlineStr">
        <is>
          <t>SOURCES DES DONNÉES</t>
        </is>
      </c>
    </row>
    <row r="2" ht="16" customHeight="1">
      <c r="A2" s="2" t="inlineStr">
        <is>
          <t>Traçabilité et outils pour compléter / actualiser le fichier</t>
        </is>
      </c>
    </row>
    <row r="4">
      <c r="A4" s="21" t="inlineStr">
        <is>
          <t>SOURCES UTILISÉES POUR CONSTRUIRE CE FICHIER</t>
        </is>
      </c>
    </row>
    <row r="5">
      <c r="A5" s="27" t="inlineStr">
        <is>
          <t>Annuaire des Entreprises (INSEE)</t>
        </is>
      </c>
      <c r="B5" s="29" t="inlineStr">
        <is>
          <t>https://annuaire-entreprises.data.gouv.fr/</t>
        </is>
      </c>
    </row>
    <row r="6">
      <c r="A6" s="27" t="inlineStr">
        <is>
          <t>API Recherche d'entreprises (open data)</t>
        </is>
      </c>
      <c r="B6" s="29" t="inlineStr">
        <is>
          <t>https://recherche-entreprises.api.gouv.fr/</t>
        </is>
      </c>
    </row>
    <row r="7">
      <c r="A7" s="27" t="inlineStr">
        <is>
          <t>Registre des transporteurs de marchandises</t>
        </is>
      </c>
      <c r="B7" s="29" t="inlineStr">
        <is>
          <t>https://www2.transports.developpement-durable.gouv.fr/registres/marchandises/99.pdf</t>
        </is>
      </c>
    </row>
    <row r="8">
      <c r="A8" s="27" t="inlineStr">
        <is>
          <t>Pages Jaunes – La Réunion</t>
        </is>
      </c>
      <c r="B8" s="29" t="inlineStr">
        <is>
          <t>https://www.pagesjaunes.fr/annuaire/departement/reunion-974/transport-marchandises</t>
        </is>
      </c>
    </row>
    <row r="9">
      <c r="A9" s="27" t="inlineStr">
        <is>
          <t>Kompass – Transports et logistique La Réunion</t>
        </is>
      </c>
      <c r="B9" s="29" t="inlineStr">
        <is>
          <t>https://fr.kompass.com/s/transports-et-logistique/10/r/la-reunion/fr_04/</t>
        </is>
      </c>
    </row>
    <row r="10">
      <c r="A10" s="27" t="inlineStr">
        <is>
          <t>Annuaire des transitaires de La Réunion</t>
        </is>
      </c>
      <c r="B10" s="29" t="inlineStr">
        <is>
          <t>https://www.reunion-directory.com/professions/transit-douane.html</t>
        </is>
      </c>
    </row>
    <row r="11">
      <c r="A11" s="27" t="inlineStr">
        <is>
          <t>CCI Réunion (fichiers entreprises, événements)</t>
        </is>
      </c>
      <c r="B11" s="29" t="inlineStr">
        <is>
          <t>https://www.reunion.cci.fr/</t>
        </is>
      </c>
    </row>
    <row r="12">
      <c r="A12" s="27" t="inlineStr">
        <is>
          <t>France Travail / offres logistique 974</t>
        </is>
      </c>
      <c r="B12" s="29" t="inlineStr">
        <is>
          <t>https://candidat.francetravail.fr/offres/recherche</t>
        </is>
      </c>
    </row>
    <row r="13">
      <c r="A13" s="27" t="inlineStr">
        <is>
          <t>Annuaire fret – Aéroport Roland Garros</t>
        </is>
      </c>
      <c r="B13" s="29" t="inlineStr">
        <is>
          <t>https://www.reunion.aeroport.fr/fret/annuaire</t>
        </is>
      </c>
    </row>
    <row r="14">
      <c r="A14" s="27" t="inlineStr">
        <is>
          <t>Kompass – Transports et logistique Saint-André</t>
        </is>
      </c>
      <c r="B14" s="29" t="inlineStr">
        <is>
          <t>https://fr.kompass.com/s/transports-et-logistique/10/v/saint-andre/fr_04_974_97409/</t>
        </is>
      </c>
    </row>
    <row r="15">
      <c r="A15" s="27" t="inlineStr">
        <is>
          <t>Pages Jaunes – fiche SIRET Créole Logistique Transport</t>
        </is>
      </c>
      <c r="B15" s="29" t="inlineStr">
        <is>
          <t>https://www.pagesjaunes.fr/siret/80216938300014</t>
        </is>
      </c>
    </row>
    <row r="16">
      <c r="A16" s="27" t="inlineStr">
        <is>
          <t>Tereos Océan Indien (sucrerie de Bois-Rouge)</t>
        </is>
      </c>
      <c r="B16" s="29" t="inlineStr">
        <is>
          <t>https://www.tereos.re/visitez-nos-sucreries/sucrerie-de-bois-rouge</t>
        </is>
      </c>
    </row>
    <row r="17">
      <c r="A17" s="27" t="inlineStr">
        <is>
          <t>Groupe SIPR / CERP Réunion (répartition pharmaceutique)</t>
        </is>
      </c>
      <c r="B17" s="29" t="inlineStr">
        <is>
          <t>https://www.cerp-sipr.com/cerp/</t>
        </is>
      </c>
    </row>
    <row r="18">
      <c r="A18" s="27" t="inlineStr">
        <is>
          <t>SIFA Logistics – agence Réunion</t>
        </is>
      </c>
      <c r="B18" s="29" t="inlineStr">
        <is>
          <t>https://sifalogistics.com/nos-agences/sifa-reunion/</t>
        </is>
      </c>
    </row>
    <row r="20">
      <c r="A20" s="21" t="inlineStr">
        <is>
          <t>LIMITES CONNUES</t>
        </is>
      </c>
    </row>
    <row r="21" ht="15" customHeight="1">
      <c r="A21" s="6" t="inlineStr">
        <is>
          <t>• Les SIRET, codes APE et noms de dirigeants non confirmés sont marqués « A VERIFIER » : ils ne sont PAS renseignés au hasard.</t>
        </is>
      </c>
    </row>
    <row r="22" ht="28" customHeight="1">
      <c r="A22" s="6" t="inlineStr">
        <is>
          <t>• Les emails et téléphones directs ne figurent dans aucune base ouverte : ils se collectent sur le site de l'entreprise ou par téléphone.</t>
        </is>
      </c>
    </row>
    <row r="23" ht="28" customHeight="1">
      <c r="A23" s="6" t="inlineStr">
        <is>
          <t>• Sainte-Rose, La Plaine-des-Palmistes et Salazie comptent très peu d'entreprises logistiques : le potentiel y est surtout en commerce de proximité et transport agricole.</t>
        </is>
      </c>
    </row>
    <row r="24" ht="15" customHeight="1">
      <c r="A24" s="6" t="inlineStr">
        <is>
          <t>• Le fichier est une base de départ : il doit vivre. Ajoutez une ligne à chaque entreprise rencontrée sur le terrain.</t>
        </is>
      </c>
    </row>
    <row r="25" ht="42" customHeight="1">
      <c r="A25" s="6" t="inlineStr">
        <is>
          <t>• Les entreprises ajoutées lors de l'enrichissement proviennent d'annuaires en ligne (annuaire fret de l'aéroport, Kompass, Pages Jaunes) : le NOM est fiable, l'adresse est à confirmer, et le SIRET reste à récupérer via le lien de la colonne S ou via le script d'auto-complétion.</t>
        </is>
      </c>
    </row>
    <row r="26" ht="28" customHeight="1">
      <c r="A26" s="6" t="inlineStr">
        <is>
          <t>• Une ligne porte la mention « A vérifier » en fiabilité (KUEHNE + NAGEL) : sa présence à La Réunion est citée mais non confirmée. Vérifiez-la sur l'Annuaire des Entreprises avant d'appeler.</t>
        </is>
      </c>
    </row>
  </sheetData>
  <mergeCells count="8">
    <mergeCell ref="A26:B26"/>
    <mergeCell ref="A21:B21"/>
    <mergeCell ref="A2:B2"/>
    <mergeCell ref="A24:B24"/>
    <mergeCell ref="A25:B25"/>
    <mergeCell ref="A1:B1"/>
    <mergeCell ref="A23:B23"/>
    <mergeCell ref="A22:B2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2026-09-05T09:40:44Z</dcterms:created>
  <dcterms:modified xsi:type="dcterms:W3CDTF">2026-09-05T09:40:44Z</dcterms:modified>
</cp:coreProperties>
</file>