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Mode d'emploi" sheetId="1" state="visible" r:id="rId1"/>
    <sheet name="01 Communes &amp; CCAS" sheetId="2" state="visible" r:id="rId2"/>
    <sheet name="02 Intercommunalités" sheetId="3" state="visible" r:id="rId3"/>
    <sheet name="03 Département, Région &amp; État" sheetId="4" state="visible" r:id="rId4"/>
    <sheet name="04 Lycées &amp; collèges" sheetId="5" state="visible" r:id="rId5"/>
    <sheet name="05 Hôpital public" sheetId="6" state="visible" r:id="rId6"/>
    <sheet name="06 Cliniques &amp; santé privée" sheetId="7" state="visible" r:id="rId7"/>
    <sheet name="07 EHPAD &amp; médico-social" sheetId="8" state="visible" r:id="rId8"/>
    <sheet name="08 Pilotage" sheetId="9" state="visible" r:id="rId9"/>
    <sheet name="09 Apprentissage dans le public" sheetId="10" state="visible" r:id="rId10"/>
    <sheet name="10 Script d'appel (public)" sheetId="11" state="visible" r:id="rId11"/>
    <sheet name="11 Sources &amp; mise à jour" sheetId="12" state="visible" r:id="rId12"/>
  </sheets>
  <definedNames>
    <definedName name="_xlnm._FilterDatabase" localSheetId="1" hidden="1">'01 Communes &amp; CCAS'!$A$4:$V$16</definedName>
    <definedName name="_xlnm._FilterDatabase" localSheetId="2" hidden="1">'02 Intercommunalités'!$A$4:$V$8</definedName>
    <definedName name="_xlnm._FilterDatabase" localSheetId="3" hidden="1">'03 Département, Région &amp; État'!$A$4:$V$10</definedName>
    <definedName name="_xlnm._FilterDatabase" localSheetId="4" hidden="1">'04 Lycées &amp; collèges'!$A$4:$V$10</definedName>
    <definedName name="_xlnm._FilterDatabase" localSheetId="5" hidden="1">'05 Hôpital public'!$A$4:$V$7</definedName>
    <definedName name="_xlnm._FilterDatabase" localSheetId="6" hidden="1">'06 Cliniques &amp; santé privée'!$A$4:$V$8</definedName>
    <definedName name="_xlnm._FilterDatabase" localSheetId="7" hidden="1">'07 EHPAD &amp; médico-social'!$A$4:$V$8</definedName>
  </definedNames>
  <calcPr calcId="124519"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Calibri"/>
      <b val="1"/>
      <color rgb="001F3864"/>
      <sz val="18"/>
    </font>
    <font>
      <name val="Calibri"/>
      <i val="1"/>
      <color rgb="00595959"/>
      <sz val="11"/>
    </font>
    <font>
      <name val="Calibri"/>
      <b val="1"/>
      <color rgb="002E75B6"/>
      <sz val="12"/>
    </font>
    <font>
      <name val="Calibri"/>
      <b val="1"/>
      <sz val="10"/>
    </font>
    <font>
      <name val="Calibri"/>
      <sz val="10"/>
    </font>
    <font>
      <name val="Calibri"/>
      <b val="1"/>
      <color rgb="001F3864"/>
      <sz val="16"/>
    </font>
    <font>
      <name val="Calibri"/>
      <b val="1"/>
      <color rgb="00FFFFFF"/>
      <sz val="10"/>
    </font>
    <font>
      <name val="Calibri"/>
      <color rgb="000563C1"/>
      <sz val="9"/>
      <u val="single"/>
    </font>
  </fonts>
  <fills count="5">
    <fill>
      <patternFill/>
    </fill>
    <fill>
      <patternFill patternType="gray125"/>
    </fill>
    <fill>
      <patternFill patternType="solid">
        <fgColor rgb="00FFF2CC"/>
      </patternFill>
    </fill>
    <fill>
      <patternFill patternType="solid">
        <fgColor rgb="001F386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pivotButton="0" quotePrefix="0" xfId="0"/>
    <xf numFmtId="0" fontId="7" fillId="3" borderId="1" applyAlignment="1" pivotButton="0" quotePrefix="0" xfId="0">
      <alignment horizontal="center" vertical="center" wrapText="1"/>
    </xf>
    <xf numFmtId="0" fontId="5" fillId="0" borderId="1" applyAlignment="1" pivotButton="0" quotePrefix="0" xfId="0">
      <alignment vertical="top"/>
    </xf>
    <xf numFmtId="0" fontId="4" fillId="0" borderId="1" applyAlignment="1" pivotButton="0" quotePrefix="0" xfId="0">
      <alignment vertical="top" wrapText="1"/>
    </xf>
    <xf numFmtId="0" fontId="5" fillId="0" borderId="1" applyAlignment="1" pivotButton="0" quotePrefix="0" xfId="0">
      <alignment vertical="top" wrapText="1"/>
    </xf>
    <xf numFmtId="49" fontId="5" fillId="0" borderId="1" applyAlignment="1" pivotButton="0" quotePrefix="0" xfId="0">
      <alignment vertical="top"/>
    </xf>
    <xf numFmtId="0" fontId="8" fillId="0" borderId="1" applyAlignment="1" pivotButton="0" quotePrefix="0" xfId="0">
      <alignment vertical="top"/>
    </xf>
    <xf numFmtId="164" fontId="5" fillId="0" borderId="1" applyAlignment="1" pivotButton="0" quotePrefix="0" xfId="0">
      <alignment vertical="top"/>
    </xf>
    <xf numFmtId="0" fontId="5" fillId="4" borderId="1" applyAlignment="1" pivotButton="0" quotePrefix="0" xfId="0">
      <alignment vertical="top"/>
    </xf>
    <xf numFmtId="0" fontId="4" fillId="4" borderId="1" applyAlignment="1" pivotButton="0" quotePrefix="0" xfId="0">
      <alignment vertical="top" wrapText="1"/>
    </xf>
    <xf numFmtId="0" fontId="5" fillId="4" borderId="1" applyAlignment="1" pivotButton="0" quotePrefix="0" xfId="0">
      <alignment vertical="top" wrapText="1"/>
    </xf>
    <xf numFmtId="49" fontId="5" fillId="4" borderId="1" applyAlignment="1" pivotButton="0" quotePrefix="0" xfId="0">
      <alignment vertical="top"/>
    </xf>
    <xf numFmtId="0" fontId="8" fillId="4" borderId="1" applyAlignment="1" pivotButton="0" quotePrefix="0" xfId="0">
      <alignment vertical="top"/>
    </xf>
    <xf numFmtId="164" fontId="5" fillId="4" borderId="1" applyAlignment="1" pivotButton="0" quotePrefix="0" xfId="0">
      <alignment vertical="top"/>
    </xf>
    <xf numFmtId="0" fontId="3" fillId="0" borderId="0" pivotButton="0" quotePrefix="0" xfId="0"/>
    <xf numFmtId="0" fontId="7" fillId="3" borderId="1" applyAlignment="1" pivotButton="0" quotePrefix="0" xfId="0">
      <alignment horizontal="center" wrapText="1"/>
    </xf>
    <xf numFmtId="0" fontId="5" fillId="0" borderId="1" pivotButton="0" quotePrefix="0" xfId="0"/>
    <xf numFmtId="9" fontId="5" fillId="0" borderId="1" pivotButton="0" quotePrefix="0" xfId="0"/>
    <xf numFmtId="0" fontId="4" fillId="2" borderId="1" pivotButton="0" quotePrefix="0" xfId="0"/>
    <xf numFmtId="9" fontId="4" fillId="2" borderId="1" pivotButton="0" quotePrefix="0" xfId="0"/>
    <xf numFmtId="0" fontId="5" fillId="0" borderId="0" pivotButton="0" quotePrefix="0" xfId="0"/>
    <xf numFmtId="0" fontId="4"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nnuaire-entreprises.data.gouv.fr/rechercher?terme=VILLE%20DE%20SAINT-DENIS%20Saint-Denis" TargetMode="External" Id="rId1" /><Relationship Type="http://schemas.openxmlformats.org/officeDocument/2006/relationships/hyperlink" Target="https://annuaire-entreprises.data.gouv.fr/rechercher?terme=CCAS%20DE%20SAINT-DENIS%20Saint-Denis" TargetMode="External" Id="rId2" /><Relationship Type="http://schemas.openxmlformats.org/officeDocument/2006/relationships/hyperlink" Target="https://annuaire-entreprises.data.gouv.fr/rechercher?terme=VILLE%20DE%20SAINTE-MARIE%20Sainte-Marie" TargetMode="External" Id="rId3" /><Relationship Type="http://schemas.openxmlformats.org/officeDocument/2006/relationships/hyperlink" Target="https://annuaire-entreprises.data.gouv.fr/rechercher?terme=CCAS%20DE%20SAINTE-MARIE%20Sainte-Marie" TargetMode="External" Id="rId4" /><Relationship Type="http://schemas.openxmlformats.org/officeDocument/2006/relationships/hyperlink" Target="https://annuaire-entreprises.data.gouv.fr/rechercher?terme=VILLE%20DE%20SAINTE-SUZANNE%20Sainte-Suzanne" TargetMode="External" Id="rId5" /><Relationship Type="http://schemas.openxmlformats.org/officeDocument/2006/relationships/hyperlink" Target="https://annuaire-entreprises.data.gouv.fr/rechercher?terme=VILLE%20DE%20SAINT-ANDR%C3%89%20Saint-Andr%C3%A9" TargetMode="External" Id="rId6" /><Relationship Type="http://schemas.openxmlformats.org/officeDocument/2006/relationships/hyperlink" Target="https://annuaire-entreprises.data.gouv.fr/rechercher?terme=CCAS%20DE%20SAINT-ANDR%C3%89%20Saint-Andr%C3%A9" TargetMode="External" Id="rId7" /><Relationship Type="http://schemas.openxmlformats.org/officeDocument/2006/relationships/hyperlink" Target="https://annuaire-entreprises.data.gouv.fr/rechercher?terme=VILLE%20DE%20BRAS-PANON%20Bras-Panon" TargetMode="External" Id="rId8" /><Relationship Type="http://schemas.openxmlformats.org/officeDocument/2006/relationships/hyperlink" Target="https://annuaire-entreprises.data.gouv.fr/rechercher?terme=VILLE%20DE%20SAINT-BENO%C3%8ET%20Saint-Beno%C3%AEt" TargetMode="External" Id="rId9" /><Relationship Type="http://schemas.openxmlformats.org/officeDocument/2006/relationships/hyperlink" Target="https://annuaire-entreprises.data.gouv.fr/rechercher?terme=VILLE%20DE%20LA%20PLAINE-DES-PALMISTES%20La%20Plaine-des-Palmistes" TargetMode="External" Id="rId10" /><Relationship Type="http://schemas.openxmlformats.org/officeDocument/2006/relationships/hyperlink" Target="https://annuaire-entreprises.data.gouv.fr/rechercher?terme=VILLE%20DE%20SAINTE-ROSE%20Sainte-Rose" TargetMode="External" Id="rId11" /><Relationship Type="http://schemas.openxmlformats.org/officeDocument/2006/relationships/hyperlink" Target="https://annuaire-entreprises.data.gouv.fr/rechercher?terme=VILLE%20DE%20SALAZIE%20Salazie" TargetMode="External" Id="rId12" /></Relationships>
</file>

<file path=xl/worksheets/_rels/sheet3.xml.rels><Relationships xmlns="http://schemas.openxmlformats.org/package/2006/relationships"><Relationship Type="http://schemas.openxmlformats.org/officeDocument/2006/relationships/hyperlink" Target="https://www.cirest.fr/" TargetMode="External" Id="rId1" /><Relationship Type="http://schemas.openxmlformats.org/officeDocument/2006/relationships/hyperlink" Target="https://annuaire-entreprises.data.gouv.fr/rechercher?terme=CIREST%20Saint-Beno%C3%AEt" TargetMode="External" Id="rId2" /><Relationship Type="http://schemas.openxmlformats.org/officeDocument/2006/relationships/hyperlink" Target="https://annuaire-entreprises.data.gouv.fr/rechercher?terme=CINOR%20Saint-Denis" TargetMode="External" Id="rId3" /><Relationship Type="http://schemas.openxmlformats.org/officeDocument/2006/relationships/hyperlink" Target="https://annuaire-entreprises.data.gouv.fr/rechercher?terme=SYDNE%20Saint-Denis" TargetMode="External" Id="rId4" /><Relationship Type="http://schemas.openxmlformats.org/officeDocument/2006/relationships/hyperlink" Target="https://annuaire-entreprises.data.gouv.fr/rechercher?terme=SIDELEC%20R%C3%89UNION%20Saint-Denis" TargetMode="External" Id="rId5" /></Relationships>
</file>

<file path=xl/worksheets/_rels/sheet4.xml.rels><Relationships xmlns="http://schemas.openxmlformats.org/package/2006/relationships"><Relationship Type="http://schemas.openxmlformats.org/officeDocument/2006/relationships/hyperlink" Target="https://annuaire-entreprises.data.gouv.fr/rechercher?terme=CONSEIL%20D%C3%89PARTEMENTAL%20DE%20LA%20R%C3%89UNION%20Saint-Denis" TargetMode="External" Id="rId1" /><Relationship Type="http://schemas.openxmlformats.org/officeDocument/2006/relationships/hyperlink" Target="https://annuaire-entreprises.data.gouv.fr/rechercher?terme=R%C3%89GION%20R%C3%89UNION%20Sainte-Clotilde%20%28Saint-Denis%29" TargetMode="External" Id="rId2" /><Relationship Type="http://schemas.openxmlformats.org/officeDocument/2006/relationships/hyperlink" Target="https://annuaire-entreprises.data.gouv.fr/rechercher?terme=RECTORAT%20DE%20L%27ACAD%C3%89MIE%20DE%20LA%20R%C3%89UNION%20Sainte-Clotilde%20%28Saint-Denis%29" TargetMode="External" Id="rId3" /><Relationship Type="http://schemas.openxmlformats.org/officeDocument/2006/relationships/hyperlink" Target="https://annuaire-entreprises.data.gouv.fr/rechercher?terme=UNIVERSIT%C3%89%20DE%20LA%20R%C3%89UNION%20Sainte-Clotilde%20%28Saint-Denis%29" TargetMode="External" Id="rId4" /><Relationship Type="http://schemas.openxmlformats.org/officeDocument/2006/relationships/hyperlink" Target="https://annuaire-entreprises.data.gouv.fr/rechercher?terme=CROUS%20DE%20LA%20R%C3%89UNION%20Sainte-Clotilde%20%28Saint-Denis%29" TargetMode="External" Id="rId5" /><Relationship Type="http://schemas.openxmlformats.org/officeDocument/2006/relationships/hyperlink" Target="https://annuaire-entreprises.data.gouv.fr/rechercher?terme=SDIS%20974%20Saint-Denis" TargetMode="External" Id="rId6" /></Relationships>
</file>

<file path=xl/worksheets/_rels/sheet5.xml.rels><Relationships xmlns="http://schemas.openxmlformats.org/package/2006/relationships"><Relationship Type="http://schemas.openxmlformats.org/officeDocument/2006/relationships/hyperlink" Target="https://annuaire-entreprises.data.gouv.fr/rechercher?terme=LYC%C3%89E%20LISLET%20GEOFFROY%20Sainte-Clotilde%20%28Saint-Denis%29" TargetMode="External" Id="rId1" /><Relationship Type="http://schemas.openxmlformats.org/officeDocument/2006/relationships/hyperlink" Target="https://annuaire-entreprises.data.gouv.fr/rechercher?terme=LYC%C3%89E%20SARDA%20GARRIGA%20Saint-Andr%C3%A9" TargetMode="External" Id="rId2" /><Relationship Type="http://schemas.openxmlformats.org/officeDocument/2006/relationships/hyperlink" Target="https://annuaire-entreprises.data.gouv.fr/rechercher?terme=LYC%C3%89E%20MAHATMA%20GANDHI%20Saint-Andr%C3%A9" TargetMode="External" Id="rId3" /><Relationship Type="http://schemas.openxmlformats.org/officeDocument/2006/relationships/hyperlink" Target="https://annuaire-entreprises.data.gouv.fr/rechercher?terme=LYC%C3%89E%20AMIRAL%20PIERRE%20BOUVET%20Saint-Beno%C3%AEt" TargetMode="External" Id="rId4" /><Relationship Type="http://schemas.openxmlformats.org/officeDocument/2006/relationships/hyperlink" Target="https://annuaire-entreprises.data.gouv.fr/rechercher?terme=LYC%C3%89E%20DE%20BRAS-FUSIL%20Saint-Beno%C3%AEt" TargetMode="External" Id="rId5" /><Relationship Type="http://schemas.openxmlformats.org/officeDocument/2006/relationships/hyperlink" Target="https://annuaire-entreprises.data.gouv.fr/rechercher?terme=AUTRES%20LYC%C3%89ES%20ET%20COLL%C3%88GES%20DU%20BASSIN%20Bassin%20Nord-Est" TargetMode="External" Id="rId6" /></Relationships>
</file>

<file path=xl/worksheets/_rels/sheet6.xml.rels><Relationships xmlns="http://schemas.openxmlformats.org/package/2006/relationships"><Relationship Type="http://schemas.openxmlformats.org/officeDocument/2006/relationships/hyperlink" Target="https://www.chu-reunion.fr/" TargetMode="External" Id="rId1" /><Relationship Type="http://schemas.openxmlformats.org/officeDocument/2006/relationships/hyperlink" Target="https://annuaire-entreprises.data.gouv.fr/rechercher?terme=CHU%20DE%20LA%20R%C3%89UNION%20Saint-Denis" TargetMode="External" Id="rId2" /><Relationship Type="http://schemas.openxmlformats.org/officeDocument/2006/relationships/hyperlink" Target="https://annuaire-entreprises.data.gouv.fr/rechercher?terme=GROUPE%20HOSPITALIER%20EST%20R%C3%89UNION%20Saint-Beno%C3%AEt" TargetMode="External" Id="rId3" /><Relationship Type="http://schemas.openxmlformats.org/officeDocument/2006/relationships/hyperlink" Target="https://annuaire-entreprises.data.gouv.fr/rechercher?terme=EPSMR%20Saint-Paul" TargetMode="External" Id="rId4" /></Relationships>
</file>

<file path=xl/worksheets/_rels/sheet7.xml.rels><Relationships xmlns="http://schemas.openxmlformats.org/package/2006/relationships"><Relationship Type="http://schemas.openxmlformats.org/officeDocument/2006/relationships/hyperlink" Target="https://www.clinifutur.net/" TargetMode="External" Id="rId1" /><Relationship Type="http://schemas.openxmlformats.org/officeDocument/2006/relationships/hyperlink" Target="https://annuaire-entreprises.data.gouv.fr/rechercher?terme=CLINIQUE%20SAINTE-CLOTILDE%20Sainte-Clotilde%20%28Saint-Denis%29" TargetMode="External" Id="rId2" /><Relationship Type="http://schemas.openxmlformats.org/officeDocument/2006/relationships/hyperlink" Target="https://annuaire-entreprises.data.gouv.fr/rechercher?terme=GROUPE%20DE%20SANT%C3%89%20CLINIFUTUR%20Sainte-Clotilde%20%28Saint-Denis%29" TargetMode="External" Id="rId3" /><Relationship Type="http://schemas.openxmlformats.org/officeDocument/2006/relationships/hyperlink" Target="https://annuaire-entreprises.data.gouv.fr/rechercher?terme=SODIA%20R%C3%89UNION%20Sainte-Clotilde%20%28Saint-Denis%29" TargetMode="External" Id="rId4" /><Relationship Type="http://schemas.openxmlformats.org/officeDocument/2006/relationships/hyperlink" Target="https://annuaire-entreprises.data.gouv.fr/rechercher?terme=AUTRES%20CLINIQUES%20DU%20GROUPE%20%C3%80%20v%C3%A9rifier" TargetMode="External" Id="rId5" /></Relationships>
</file>

<file path=xl/worksheets/_rels/sheet8.xml.rels><Relationships xmlns="http://schemas.openxmlformats.org/package/2006/relationships"><Relationship Type="http://schemas.openxmlformats.org/officeDocument/2006/relationships/hyperlink" Target="https://aurar.fr/nous-trouver/" TargetMode="External" Id="rId1" /><Relationship Type="http://schemas.openxmlformats.org/officeDocument/2006/relationships/hyperlink" Target="https://annuaire-entreprises.data.gouv.fr/rechercher?terme=AURAR%20Saint-Beno%C3%AEt" TargetMode="External" Id="rId2" /><Relationship Type="http://schemas.openxmlformats.org/officeDocument/2006/relationships/hyperlink" Target="https://annuaire-entreprises.data.gouv.fr/rechercher?terme=AURAR%20Sainte-Clotilde%20%28Saint-Denis%29" TargetMode="External" Id="rId3" /><Relationship Type="http://schemas.openxmlformats.org/officeDocument/2006/relationships/hyperlink" Target="https://annuaire-entreprises.data.gouv.fr/rechercher?terme=EHPAD%20DU%20BASSIN%20NORD-EST%20Bassin%20Nord-Est" TargetMode="External" Id="rId4" /><Relationship Type="http://schemas.openxmlformats.org/officeDocument/2006/relationships/hyperlink" Target="https://annuaire-entreprises.data.gouv.fr/rechercher?terme=ESAT%20ET%20%C3%89TABLISSEMENTS%20M%C3%89DICO-SOCIAUX%20DU%20BASSIN%20Bassin%20Nord-Est" TargetMode="External" Id="rId5" /></Relationships>
</file>

<file path=xl/worksheets/_rels/sheet12.xml.rels><Relationships xmlns="http://schemas.openxmlformats.org/package/2006/relationships"><Relationship Type="http://schemas.openxmlformats.org/officeDocument/2006/relationships/hyperlink" Target="https://annuaire-entreprises.data.gouv.fr/" TargetMode="External" Id="rId1" /><Relationship Type="http://schemas.openxmlformats.org/officeDocument/2006/relationships/hyperlink" Target="https://www.cnfpt.fr/s-informer/nos-actualites/le-fil-dactu/financement-contrats-dapprentissage/national" TargetMode="External" Id="rId2" /><Relationship Type="http://schemas.openxmlformats.org/officeDocument/2006/relationships/hyperlink" Target="https://www.cnfpt.fr/se-former/accueillir-apprenti/lapprentissage-collectivites-territoriales" TargetMode="External" Id="rId3" /><Relationship Type="http://schemas.openxmlformats.org/officeDocument/2006/relationships/hyperlink" Target="https://lannuaire.service-public.gouv.fr/la-reunion/la-reunion" TargetMode="External" Id="rId4" /><Relationship Type="http://schemas.openxmlformats.org/officeDocument/2006/relationships/hyperlink" Target="https://data.education.gouv.fr/explore/dataset/fr-en-annuaire-education/" TargetMode="External" Id="rId5" /><Relationship Type="http://schemas.openxmlformats.org/officeDocument/2006/relationships/hyperlink" Target="https://www.sante.fr/" TargetMode="External" Id="rId6" /><Relationship Type="http://schemas.openxmlformats.org/officeDocument/2006/relationships/hyperlink" Target="https://www.cirest.fr/qui-sommes-nous/" TargetMode="External" Id="rId7" /><Relationship Type="http://schemas.openxmlformats.org/officeDocument/2006/relationships/hyperlink" Target="https://www.chu-reunion.fr/contact/" TargetMode="External" Id="rId8" /><Relationship Type="http://schemas.openxmlformats.org/officeDocument/2006/relationships/hyperlink" Target="https://www.clinifutur.net/" TargetMode="External" Id="rId9" /><Relationship Type="http://schemas.openxmlformats.org/officeDocument/2006/relationships/hyperlink" Target="https://aurar.fr/nous-trouver/" TargetMode="External" Id="rId10" /></Relationships>
</file>

<file path=xl/worksheets/sheet1.xml><?xml version="1.0" encoding="utf-8"?>
<worksheet xmlns="http://schemas.openxmlformats.org/spreadsheetml/2006/main">
  <sheetPr>
    <outlinePr summaryBelow="1" summaryRight="1"/>
    <pageSetUpPr/>
  </sheetPr>
  <dimension ref="B2:C24"/>
  <sheetViews>
    <sheetView showGridLines="0" workbookViewId="0">
      <selection activeCell="A1" sqref="A1"/>
    </sheetView>
  </sheetViews>
  <sheetFormatPr baseColWidth="8" defaultRowHeight="15"/>
  <cols>
    <col width="3" customWidth="1" min="1" max="1"/>
    <col width="40" customWidth="1" min="2" max="2"/>
    <col width="100" customWidth="1" min="3" max="3"/>
  </cols>
  <sheetData>
    <row r="2">
      <c r="B2" s="1" t="inlineStr">
        <is>
          <t>PROSPECTION APPRENTISSAGE – SECTEUR PUBLIC, ÉCOLES ET SANTÉ</t>
        </is>
      </c>
    </row>
    <row r="3">
      <c r="B3" s="2" t="inlineStr">
        <is>
          <t>Bassin Nord-Est de La Réunion : de Saint-Denis à Sainte-Rose, hauteurs comprises</t>
        </is>
      </c>
    </row>
    <row r="5">
      <c r="B5" s="3" t="inlineStr">
        <is>
          <t>À QUOI SERT CE FICHIER</t>
        </is>
      </c>
      <c r="C5" s="4" t="n"/>
    </row>
    <row r="6" ht="39" customHeight="1">
      <c r="B6" s="5" t="inlineStr">
        <is>
          <t>Objectif</t>
        </is>
      </c>
      <c r="C6" s="6" t="inlineStr">
        <is>
          <t>Identifier les structures publiques, scolaires et de santé du bassin Nord-Est qui disposent d'un magasin, d'un économat, d'une cuisine centrale, d'une pharmacie ou d'un parc matériel — donc capables d'accueillir un(e) apprenti(e) opérateur logistique de 16 à 25 ans.</t>
        </is>
      </c>
    </row>
    <row r="7" ht="39" customHeight="1">
      <c r="B7" s="5" t="inlineStr">
        <is>
          <t>Complémentaire du fichier privé</t>
        </is>
      </c>
      <c r="C7" s="6" t="inlineStr">
        <is>
          <t>Ce classeur est le pendant du fichier « Prospection_Logistique_Nord-Est_Reunion.xlsx » (entreprises privées). Même structure, mêmes colonnes, même méthode. Une seule structure figure dans les deux : le GHER à Saint-Benoît — ne l'appelez pas deux fois.</t>
        </is>
      </c>
    </row>
    <row r="8" ht="39" customHeight="1">
      <c r="B8" s="5" t="inlineStr">
        <is>
          <t>Pourquoi ce gisement est sous-exploité</t>
        </is>
      </c>
      <c r="C8" s="6" t="inlineStr">
        <is>
          <t>Les CFA prospectent le privé et oublient le public. Or une mairie, un lycée ou un hôpital ont un magasin, des livraisons quotidiennes et des agents proches de la retraite à remplacer. La concurrence y est bien plus faible.</t>
        </is>
      </c>
    </row>
    <row r="10">
      <c r="B10" s="3" t="inlineStr">
        <is>
          <t>⚠️ À LIRE AVANT LE PREMIER APPEL</t>
        </is>
      </c>
      <c r="C10" s="4" t="n"/>
    </row>
    <row r="11" ht="52" customHeight="1">
      <c r="B11" s="5" t="inlineStr">
        <is>
          <t>Le public a un calendrier inversé</t>
        </is>
      </c>
      <c r="C11" s="6" t="inlineStr">
        <is>
          <t>Dans le privé, on prospecte pour la rentrée. Dans le public territorial, le financement de la formation par le CNFPT dépend d'un RECENSEMENT annuel qui se fait en début d'année civile. Une collectivité qui ne s'est pas recensée ne pourra pas être financée. Voir l'onglet « 09 Apprentissage dans le public » AVANT de décrocher le téléphone.</t>
        </is>
      </c>
    </row>
    <row r="12" ht="39" customHeight="1">
      <c r="B12" s="5" t="inlineStr">
        <is>
          <t>Le bon interlocuteur n'est pas le maire</t>
        </is>
      </c>
      <c r="C12" s="6" t="inlineStr">
        <is>
          <t>Dans une commune : le DGS, la DRH et le directeur des services techniques. Dans un lycée : l'adjoint gestionnaire. Dans un hôpital : la direction des achats et de la logistique. Se tromper de porte fait perdre trois semaines.</t>
        </is>
      </c>
    </row>
    <row r="13" ht="39" customHeight="1">
      <c r="B13" s="5" t="inlineStr">
        <is>
          <t>Fiabilité des données</t>
        </is>
      </c>
      <c r="C13" s="6" t="inlineStr">
        <is>
          <t>Les NOMS des structures sont publics et fiables. Les ADRESSES sont à confirmer (colonne « Fiabilité donnée »). SIRET, code APE et responsable portent « A VERIFIER » tant qu'ils n'ont pas été confirmés : aucune donnée n'a été inventée.</t>
        </is>
      </c>
    </row>
    <row r="15">
      <c r="B15" s="3" t="inlineStr">
        <is>
          <t>REMPLISSAGE AUTOMATIQUE – 2 MINUTES</t>
        </is>
      </c>
      <c r="C15" s="4" t="n"/>
    </row>
    <row r="16" ht="39" customHeight="1">
      <c r="B16" s="5" t="inlineStr">
        <is>
          <t>Le script d'auto-complétion</t>
        </is>
      </c>
      <c r="C16" s="6" t="inlineStr">
        <is>
          <t>Le fichier « completer_via_annuaire.py » fonctionne aussi sur ce classeur : il interroge l'API officielle de l'INSEE et remplit SIRET, code APE, effectif et responsable. Les collectivités et les établissements publics sont bien présents dans cette base.</t>
        </is>
      </c>
    </row>
    <row r="17" ht="26" customHeight="1">
      <c r="B17" s="5" t="inlineStr">
        <is>
          <t>Comment le lancer</t>
        </is>
      </c>
      <c r="C17" s="6" t="inlineStr">
        <is>
          <t>python3 completer_via_annuaire.py Prospection_Public_Sante_Nord-Est_Reunion.xlsx — voir LISEZ-MOI.md.</t>
        </is>
      </c>
    </row>
    <row r="19">
      <c r="B19" s="3" t="inlineStr">
        <is>
          <t>LES ONGLETS</t>
        </is>
      </c>
      <c r="C19" s="4" t="n"/>
    </row>
    <row r="20" ht="26" customHeight="1">
      <c r="B20" s="5" t="inlineStr">
        <is>
          <t>01 à 07</t>
        </is>
      </c>
      <c r="C20" s="6" t="inlineStr">
        <is>
          <t>Un onglet par famille de structures. Les onglets 01 et 04 sont les plus gros gisements en nombre de postes ; les onglets 05 et 06 les plus gros en volume logistique par structure.</t>
        </is>
      </c>
    </row>
    <row r="21" ht="15" customHeight="1">
      <c r="B21" s="5" t="inlineStr">
        <is>
          <t>08 Pilotage</t>
        </is>
      </c>
      <c r="C21" s="6" t="inlineStr">
        <is>
          <t>Compteurs automatiques par onglet et par statut.</t>
        </is>
      </c>
    </row>
    <row r="22" ht="26" customHeight="1">
      <c r="B22" s="5" t="inlineStr">
        <is>
          <t>09 Apprentissage dans le public</t>
        </is>
      </c>
      <c r="C22" s="6" t="inlineStr">
        <is>
          <t>Qui finance quoi, le calendrier CNFPT, les pièces à déposer et les délais. C'est l'onglet qui fait la différence face à un DRH.</t>
        </is>
      </c>
    </row>
    <row r="23" ht="15" customHeight="1">
      <c r="B23" s="5" t="inlineStr">
        <is>
          <t>10 Script d'appel (public)</t>
        </is>
      </c>
      <c r="C23" s="6" t="inlineStr">
        <is>
          <t>Trame d'appel adaptée : on ne parle pas à une mairie comme à un transporteur.</t>
        </is>
      </c>
    </row>
    <row r="24" ht="15" customHeight="1">
      <c r="B24" s="5" t="inlineStr">
        <is>
          <t>11 Sources &amp; mise à jour</t>
        </is>
      </c>
      <c r="C24" s="6" t="inlineStr">
        <is>
          <t>D'où viennent les données et où les actualiser.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6"/>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6" customWidth="1" min="3" max="3"/>
    <col width="38" customWidth="1" min="4" max="4"/>
    <col width="7" customWidth="1" min="5" max="5"/>
    <col width="18" customWidth="1" min="6" max="6"/>
    <col width="20" customWidth="1" min="7" max="7"/>
    <col width="10" customWidth="1" min="8" max="8"/>
    <col width="32" customWidth="1" min="9" max="9"/>
    <col width="22" customWidth="1" min="10" max="10"/>
    <col width="24" customWidth="1" min="11" max="11"/>
    <col width="16" customWidth="1" min="12" max="12"/>
    <col width="16" customWidth="1" min="13" max="13"/>
    <col width="30" customWidth="1" min="14" max="14"/>
    <col width="26" customWidth="1" min="15" max="15"/>
    <col width="30" customWidth="1" min="16" max="16"/>
    <col width="9" customWidth="1" min="17" max="17"/>
    <col width="16" customWidth="1" min="18" max="18"/>
    <col width="34" customWidth="1" min="19" max="19"/>
    <col width="20" customWidth="1" min="20" max="20"/>
    <col width="18" customWidth="1" min="21" max="21"/>
    <col width="40" customWidth="1" min="22" max="22"/>
  </cols>
  <sheetData>
    <row r="1" ht="24" customHeight="1">
      <c r="A1" s="7" t="inlineStr">
        <is>
          <t>PROSPECTION PUBLIC &amp; SANTÉ – COMMUNES &amp; CCAS</t>
        </is>
      </c>
    </row>
    <row r="2" ht="16" customHeight="1">
      <c r="A2" s="2" t="inlineStr">
        <is>
          <t>Les 9 communes du bassin et leurs CCAS – magasin communal, restauration scolaire, parc matériel</t>
        </is>
      </c>
    </row>
    <row r="4" ht="34" customHeight="1">
      <c r="A4" s="8" t="inlineStr">
        <is>
          <t>N°</t>
        </is>
      </c>
      <c r="B4" s="8" t="inlineStr">
        <is>
          <t>Raison sociale / Enseigne</t>
        </is>
      </c>
      <c r="C4" s="8" t="inlineStr">
        <is>
          <t>Type de structure</t>
        </is>
      </c>
      <c r="D4" s="8" t="inlineStr">
        <is>
          <t>Adresse</t>
        </is>
      </c>
      <c r="E4" s="8" t="inlineStr">
        <is>
          <t>CP</t>
        </is>
      </c>
      <c r="F4" s="8" t="inlineStr">
        <is>
          <t>Commune</t>
        </is>
      </c>
      <c r="G4" s="8" t="inlineStr">
        <is>
          <t>SIRET (14 chiffres)</t>
        </is>
      </c>
      <c r="H4" s="8" t="inlineStr">
        <is>
          <t>Code APE</t>
        </is>
      </c>
      <c r="I4" s="8" t="inlineStr">
        <is>
          <t>Libellé APE</t>
        </is>
      </c>
      <c r="J4" s="8" t="inlineStr">
        <is>
          <t>Effectif (tranche INSEE)</t>
        </is>
      </c>
      <c r="K4" s="8" t="inlineStr">
        <is>
          <t>Dirigeant (Nom Prénom)</t>
        </is>
      </c>
      <c r="L4" s="8" t="inlineStr">
        <is>
          <t>Fonction</t>
        </is>
      </c>
      <c r="M4" s="8" t="inlineStr">
        <is>
          <t>Téléphone</t>
        </is>
      </c>
      <c r="N4" s="8" t="inlineStr">
        <is>
          <t>Email contact</t>
        </is>
      </c>
      <c r="O4" s="8" t="inlineStr">
        <is>
          <t>Site web</t>
        </is>
      </c>
      <c r="P4" s="8" t="inlineStr">
        <is>
          <t>Poste apprenti visé</t>
        </is>
      </c>
      <c r="Q4" s="8" t="inlineStr">
        <is>
          <t>Priorité</t>
        </is>
      </c>
      <c r="R4" s="8" t="inlineStr">
        <is>
          <t>Fiabilité donnée</t>
        </is>
      </c>
      <c r="S4" s="8" t="inlineStr">
        <is>
          <t>Vérifier SIRET / APE / Dirigeant</t>
        </is>
      </c>
      <c r="T4" s="8" t="inlineStr">
        <is>
          <t>Statut prospection</t>
        </is>
      </c>
      <c r="U4" s="8" t="inlineStr">
        <is>
          <t>Date dernier contact</t>
        </is>
      </c>
      <c r="V4" s="8" t="inlineStr">
        <is>
          <t>Notes</t>
        </is>
      </c>
    </row>
    <row r="5" ht="46" customHeight="1">
      <c r="A5" s="9" t="n">
        <v>1</v>
      </c>
      <c r="B5" s="10" t="inlineStr">
        <is>
          <t>VILLE DE SAINT-DENIS</t>
        </is>
      </c>
      <c r="C5" s="9" t="inlineStr">
        <is>
          <t>Commune (fonction publique territoriale)</t>
        </is>
      </c>
      <c r="D5" s="11" t="inlineStr">
        <is>
          <t>2 rue de Paris – Hôtel de Ville</t>
        </is>
      </c>
      <c r="E5" s="9" t="inlineStr">
        <is>
          <t>97400</t>
        </is>
      </c>
      <c r="F5" s="9" t="inlineStr">
        <is>
          <t>Saint-Denis</t>
        </is>
      </c>
      <c r="G5" s="12" t="inlineStr">
        <is>
          <t>A VERIFIER</t>
        </is>
      </c>
      <c r="H5" s="9" t="inlineStr">
        <is>
          <t>A VERIFIER</t>
        </is>
      </c>
      <c r="I5" s="11" t="inlineStr">
        <is>
          <t>A VERIFIER</t>
        </is>
      </c>
      <c r="J5" s="9" t="inlineStr">
        <is>
          <t>A COMPLETER</t>
        </is>
      </c>
      <c r="K5" s="9" t="inlineStr">
        <is>
          <t>A COMPLETER</t>
        </is>
      </c>
      <c r="L5" s="9" t="inlineStr">
        <is>
          <t>Dirigeant / DG</t>
        </is>
      </c>
      <c r="M5" s="12" t="inlineStr">
        <is>
          <t>A COMPLETER</t>
        </is>
      </c>
      <c r="N5" s="9" t="inlineStr">
        <is>
          <t>A COMPLETER</t>
        </is>
      </c>
      <c r="O5" s="9" t="inlineStr">
        <is>
          <t>A COMPLETER</t>
        </is>
      </c>
      <c r="P5" s="11" t="inlineStr">
        <is>
          <t>Magasinier / Magasin communal</t>
        </is>
      </c>
      <c r="Q5" s="9" t="inlineStr">
        <is>
          <t>P1</t>
        </is>
      </c>
      <c r="R5" s="9" t="inlineStr">
        <is>
          <t>Source annuaire</t>
        </is>
      </c>
      <c r="S5" s="13" t="inlineStr">
        <is>
          <t>Ouvrir la fiche entreprise</t>
        </is>
      </c>
      <c r="T5" s="9" t="inlineStr">
        <is>
          <t>A contacter</t>
        </is>
      </c>
      <c r="U5" s="14" t="inlineStr"/>
      <c r="V5" s="11" t="inlineStr">
        <is>
          <t>La plus grosse collectivité de l'île : magasin général, cuisines scolaires, parc matériel des fêtes et cérémonies, archives, parc automobile. Plusieurs postes d'apprentis logistique possibles la même année. Interlocuteurs : DGS + DRH + directeur des services techniques (c'est lui qui a le magasin).</t>
        </is>
      </c>
    </row>
    <row r="6" ht="46" customHeight="1">
      <c r="A6" s="15" t="n">
        <v>2</v>
      </c>
      <c r="B6" s="16" t="inlineStr">
        <is>
          <t>CCAS DE SAINT-DENIS</t>
        </is>
      </c>
      <c r="C6" s="15" t="inlineStr">
        <is>
          <t>CCAS (établissement public communal)</t>
        </is>
      </c>
      <c r="D6" s="17" t="inlineStr">
        <is>
          <t>A VERIFIER</t>
        </is>
      </c>
      <c r="E6" s="15" t="inlineStr">
        <is>
          <t>97400</t>
        </is>
      </c>
      <c r="F6" s="15" t="inlineStr">
        <is>
          <t>Saint-Denis</t>
        </is>
      </c>
      <c r="G6" s="18" t="inlineStr">
        <is>
          <t>A VERIFIER</t>
        </is>
      </c>
      <c r="H6" s="15" t="inlineStr">
        <is>
          <t>A VERIFIER</t>
        </is>
      </c>
      <c r="I6" s="17" t="inlineStr">
        <is>
          <t>A VERIFIER</t>
        </is>
      </c>
      <c r="J6" s="15" t="inlineStr">
        <is>
          <t>A COMPLETER</t>
        </is>
      </c>
      <c r="K6" s="15" t="inlineStr">
        <is>
          <t>A COMPLETER</t>
        </is>
      </c>
      <c r="L6" s="15" t="inlineStr">
        <is>
          <t>Dirigeant / DG</t>
        </is>
      </c>
      <c r="M6" s="18" t="inlineStr">
        <is>
          <t>A COMPLETER</t>
        </is>
      </c>
      <c r="N6" s="15" t="inlineStr">
        <is>
          <t>A COMPLETER</t>
        </is>
      </c>
      <c r="O6" s="15" t="inlineStr">
        <is>
          <t>A COMPLETER</t>
        </is>
      </c>
      <c r="P6" s="17" t="inlineStr">
        <is>
          <t>Logistique de restauration collective</t>
        </is>
      </c>
      <c r="Q6" s="15" t="inlineStr">
        <is>
          <t>P2</t>
        </is>
      </c>
      <c r="R6" s="15" t="inlineStr">
        <is>
          <t>Source annuaire</t>
        </is>
      </c>
      <c r="S6" s="19" t="inlineStr">
        <is>
          <t>Ouvrir la fiche entreprise</t>
        </is>
      </c>
      <c r="T6" s="15" t="inlineStr">
        <is>
          <t>A contacter</t>
        </is>
      </c>
      <c r="U6" s="20" t="inlineStr"/>
      <c r="V6" s="17" t="inlineStr">
        <is>
          <t>Portage de repas à domicile, aide alimentaire, magasin de fournitures : flux quotidiens et gestion de stock du froid. Interlocuteur : directeur du CCAS.</t>
        </is>
      </c>
    </row>
    <row r="7" ht="46" customHeight="1">
      <c r="A7" s="9" t="n">
        <v>3</v>
      </c>
      <c r="B7" s="10" t="inlineStr">
        <is>
          <t>VILLE DE SAINTE-MARIE</t>
        </is>
      </c>
      <c r="C7" s="9" t="inlineStr">
        <is>
          <t>Commune (fonction publique territoriale)</t>
        </is>
      </c>
      <c r="D7" s="11" t="inlineStr">
        <is>
          <t>A VERIFIER</t>
        </is>
      </c>
      <c r="E7" s="9" t="inlineStr">
        <is>
          <t>97438</t>
        </is>
      </c>
      <c r="F7" s="9" t="inlineStr">
        <is>
          <t>Sainte-Marie</t>
        </is>
      </c>
      <c r="G7" s="12" t="inlineStr">
        <is>
          <t>A VERIFIER</t>
        </is>
      </c>
      <c r="H7" s="9" t="inlineStr">
        <is>
          <t>A VERIFIER</t>
        </is>
      </c>
      <c r="I7" s="11" t="inlineStr">
        <is>
          <t>A VERIFIER</t>
        </is>
      </c>
      <c r="J7" s="9" t="inlineStr">
        <is>
          <t>A COMPLETER</t>
        </is>
      </c>
      <c r="K7" s="9" t="inlineStr">
        <is>
          <t>A COMPLETER</t>
        </is>
      </c>
      <c r="L7" s="9" t="inlineStr">
        <is>
          <t>Dirigeant / DG</t>
        </is>
      </c>
      <c r="M7" s="12" t="inlineStr">
        <is>
          <t>A COMPLETER</t>
        </is>
      </c>
      <c r="N7" s="9" t="inlineStr">
        <is>
          <t>A COMPLETER</t>
        </is>
      </c>
      <c r="O7" s="9" t="inlineStr">
        <is>
          <t>A COMPLETER</t>
        </is>
      </c>
      <c r="P7" s="11" t="inlineStr">
        <is>
          <t>Magasinier / Magasin communal</t>
        </is>
      </c>
      <c r="Q7" s="9" t="inlineStr">
        <is>
          <t>P1</t>
        </is>
      </c>
      <c r="R7" s="9" t="inlineStr">
        <is>
          <t>A vérifier</t>
        </is>
      </c>
      <c r="S7" s="13" t="inlineStr">
        <is>
          <t>Ouvrir la fiche entreprise</t>
        </is>
      </c>
      <c r="T7" s="9" t="inlineStr">
        <is>
          <t>A contacter</t>
        </is>
      </c>
      <c r="U7" s="14" t="inlineStr"/>
      <c r="V7" s="11" t="inlineStr">
        <is>
          <t>Commune en croissance, zone aéroportuaire sur son territoire. Magasin communal, restauration scolaire, services techniques. Interlocuteurs : DGS + DRH + directeur des services techniques (c'est lui qui a le magasin).</t>
        </is>
      </c>
    </row>
    <row r="8" ht="46" customHeight="1">
      <c r="A8" s="15" t="n">
        <v>4</v>
      </c>
      <c r="B8" s="16" t="inlineStr">
        <is>
          <t>CCAS DE SAINTE-MARIE</t>
        </is>
      </c>
      <c r="C8" s="15" t="inlineStr">
        <is>
          <t>CCAS (établissement public communal)</t>
        </is>
      </c>
      <c r="D8" s="17" t="inlineStr">
        <is>
          <t>A VERIFIER</t>
        </is>
      </c>
      <c r="E8" s="15" t="inlineStr">
        <is>
          <t>97438</t>
        </is>
      </c>
      <c r="F8" s="15" t="inlineStr">
        <is>
          <t>Sainte-Marie</t>
        </is>
      </c>
      <c r="G8" s="18" t="inlineStr">
        <is>
          <t>A VERIFIER</t>
        </is>
      </c>
      <c r="H8" s="15" t="inlineStr">
        <is>
          <t>A VERIFIER</t>
        </is>
      </c>
      <c r="I8" s="17" t="inlineStr">
        <is>
          <t>A VERIFIER</t>
        </is>
      </c>
      <c r="J8" s="15" t="inlineStr">
        <is>
          <t>A COMPLETER</t>
        </is>
      </c>
      <c r="K8" s="15" t="inlineStr">
        <is>
          <t>A COMPLETER</t>
        </is>
      </c>
      <c r="L8" s="15" t="inlineStr">
        <is>
          <t>Dirigeant / DG</t>
        </is>
      </c>
      <c r="M8" s="18" t="inlineStr">
        <is>
          <t>A COMPLETER</t>
        </is>
      </c>
      <c r="N8" s="15" t="inlineStr">
        <is>
          <t>A COMPLETER</t>
        </is>
      </c>
      <c r="O8" s="15" t="inlineStr">
        <is>
          <t>A COMPLETER</t>
        </is>
      </c>
      <c r="P8" s="17" t="inlineStr">
        <is>
          <t>Logistique de restauration collective</t>
        </is>
      </c>
      <c r="Q8" s="15" t="inlineStr">
        <is>
          <t>P3</t>
        </is>
      </c>
      <c r="R8" s="15" t="inlineStr">
        <is>
          <t>A vérifier</t>
        </is>
      </c>
      <c r="S8" s="19" t="inlineStr">
        <is>
          <t>Ouvrir la fiche entreprise</t>
        </is>
      </c>
      <c r="T8" s="15" t="inlineStr">
        <is>
          <t>A contacter</t>
        </is>
      </c>
      <c r="U8" s="20" t="inlineStr"/>
      <c r="V8" s="17" t="inlineStr">
        <is>
          <t>Portage de repas et aide sociale : vérifier le volume avant de proposer un apprenti.</t>
        </is>
      </c>
    </row>
    <row r="9" ht="46" customHeight="1">
      <c r="A9" s="9" t="n">
        <v>5</v>
      </c>
      <c r="B9" s="10" t="inlineStr">
        <is>
          <t>VILLE DE SAINTE-SUZANNE</t>
        </is>
      </c>
      <c r="C9" s="9" t="inlineStr">
        <is>
          <t>Commune (fonction publique territoriale)</t>
        </is>
      </c>
      <c r="D9" s="11" t="inlineStr">
        <is>
          <t>A VERIFIER</t>
        </is>
      </c>
      <c r="E9" s="9" t="inlineStr">
        <is>
          <t>97441</t>
        </is>
      </c>
      <c r="F9" s="9" t="inlineStr">
        <is>
          <t>Sainte-Suzanne</t>
        </is>
      </c>
      <c r="G9" s="12" t="inlineStr">
        <is>
          <t>A VERIFIER</t>
        </is>
      </c>
      <c r="H9" s="9" t="inlineStr">
        <is>
          <t>A VERIFIER</t>
        </is>
      </c>
      <c r="I9" s="11" t="inlineStr">
        <is>
          <t>A VERIFIER</t>
        </is>
      </c>
      <c r="J9" s="9" t="inlineStr">
        <is>
          <t>A COMPLETER</t>
        </is>
      </c>
      <c r="K9" s="9" t="inlineStr">
        <is>
          <t>A COMPLETER</t>
        </is>
      </c>
      <c r="L9" s="9" t="inlineStr">
        <is>
          <t>Dirigeant / DG</t>
        </is>
      </c>
      <c r="M9" s="12" t="inlineStr">
        <is>
          <t>A COMPLETER</t>
        </is>
      </c>
      <c r="N9" s="9" t="inlineStr">
        <is>
          <t>A COMPLETER</t>
        </is>
      </c>
      <c r="O9" s="9" t="inlineStr">
        <is>
          <t>A COMPLETER</t>
        </is>
      </c>
      <c r="P9" s="11" t="inlineStr">
        <is>
          <t>Magasinier / Magasin communal</t>
        </is>
      </c>
      <c r="Q9" s="9" t="inlineStr">
        <is>
          <t>P2</t>
        </is>
      </c>
      <c r="R9" s="9" t="inlineStr">
        <is>
          <t>A vérifier</t>
        </is>
      </c>
      <c r="S9" s="13" t="inlineStr">
        <is>
          <t>Ouvrir la fiche entreprise</t>
        </is>
      </c>
      <c r="T9" s="9" t="inlineStr">
        <is>
          <t>A contacter</t>
        </is>
      </c>
      <c r="U9" s="14" t="inlineStr"/>
      <c r="V9" s="11" t="inlineStr">
        <is>
          <t>Commune de taille moyenne : un seul magasin, mais un tuteur facile à identifier. Interlocuteurs : DGS + DRH + directeur des services techniques (c'est lui qui a le magasin).</t>
        </is>
      </c>
    </row>
    <row r="10" ht="46" customHeight="1">
      <c r="A10" s="15" t="n">
        <v>6</v>
      </c>
      <c r="B10" s="16" t="inlineStr">
        <is>
          <t>VILLE DE SAINT-ANDRÉ</t>
        </is>
      </c>
      <c r="C10" s="15" t="inlineStr">
        <is>
          <t>Commune (fonction publique territoriale)</t>
        </is>
      </c>
      <c r="D10" s="17" t="inlineStr">
        <is>
          <t>A VERIFIER</t>
        </is>
      </c>
      <c r="E10" s="15" t="inlineStr">
        <is>
          <t>97440</t>
        </is>
      </c>
      <c r="F10" s="15" t="inlineStr">
        <is>
          <t>Saint-André</t>
        </is>
      </c>
      <c r="G10" s="18" t="inlineStr">
        <is>
          <t>A VERIFIER</t>
        </is>
      </c>
      <c r="H10" s="15" t="inlineStr">
        <is>
          <t>A VERIFIER</t>
        </is>
      </c>
      <c r="I10" s="17" t="inlineStr">
        <is>
          <t>A VERIFIER</t>
        </is>
      </c>
      <c r="J10" s="15" t="inlineStr">
        <is>
          <t>A COMPLETER</t>
        </is>
      </c>
      <c r="K10" s="15" t="inlineStr">
        <is>
          <t>A COMPLETER</t>
        </is>
      </c>
      <c r="L10" s="15" t="inlineStr">
        <is>
          <t>Dirigeant / DG</t>
        </is>
      </c>
      <c r="M10" s="18" t="inlineStr">
        <is>
          <t>A COMPLETER</t>
        </is>
      </c>
      <c r="N10" s="15" t="inlineStr">
        <is>
          <t>A COMPLETER</t>
        </is>
      </c>
      <c r="O10" s="15" t="inlineStr">
        <is>
          <t>A COMPLETER</t>
        </is>
      </c>
      <c r="P10" s="17" t="inlineStr">
        <is>
          <t>Magasinier / Magasin communal</t>
        </is>
      </c>
      <c r="Q10" s="15" t="inlineStr">
        <is>
          <t>P1</t>
        </is>
      </c>
      <c r="R10" s="15" t="inlineStr">
        <is>
          <t>A vérifier</t>
        </is>
      </c>
      <c r="S10" s="19" t="inlineStr">
        <is>
          <t>Ouvrir la fiche entreprise</t>
        </is>
      </c>
      <c r="T10" s="15" t="inlineStr">
        <is>
          <t>A contacter</t>
        </is>
      </c>
      <c r="U10" s="20" t="inlineStr"/>
      <c r="V10" s="17" t="inlineStr">
        <is>
          <t>2e ville de l'Est. Restauration scolaire importante, services techniques étoffés, magasin communal. Cible prioritaire du bassin Est. Interlocuteurs : DGS + DRH + directeur des services techniques (c'est lui qui a le magasin).</t>
        </is>
      </c>
    </row>
    <row r="11" ht="46" customHeight="1">
      <c r="A11" s="9" t="n">
        <v>7</v>
      </c>
      <c r="B11" s="10" t="inlineStr">
        <is>
          <t>CCAS DE SAINT-ANDRÉ</t>
        </is>
      </c>
      <c r="C11" s="9" t="inlineStr">
        <is>
          <t>CCAS (établissement public communal)</t>
        </is>
      </c>
      <c r="D11" s="11" t="inlineStr">
        <is>
          <t>A VERIFIER</t>
        </is>
      </c>
      <c r="E11" s="9" t="inlineStr">
        <is>
          <t>97440</t>
        </is>
      </c>
      <c r="F11" s="9" t="inlineStr">
        <is>
          <t>Saint-André</t>
        </is>
      </c>
      <c r="G11" s="12" t="inlineStr">
        <is>
          <t>A VERIFIER</t>
        </is>
      </c>
      <c r="H11" s="9" t="inlineStr">
        <is>
          <t>A VERIFIER</t>
        </is>
      </c>
      <c r="I11" s="11" t="inlineStr">
        <is>
          <t>A VERIFIER</t>
        </is>
      </c>
      <c r="J11" s="9" t="inlineStr">
        <is>
          <t>A COMPLETER</t>
        </is>
      </c>
      <c r="K11" s="9" t="inlineStr">
        <is>
          <t>A COMPLETER</t>
        </is>
      </c>
      <c r="L11" s="9" t="inlineStr">
        <is>
          <t>Dirigeant / DG</t>
        </is>
      </c>
      <c r="M11" s="12" t="inlineStr">
        <is>
          <t>A COMPLETER</t>
        </is>
      </c>
      <c r="N11" s="9" t="inlineStr">
        <is>
          <t>A COMPLETER</t>
        </is>
      </c>
      <c r="O11" s="9" t="inlineStr">
        <is>
          <t>A COMPLETER</t>
        </is>
      </c>
      <c r="P11" s="11" t="inlineStr">
        <is>
          <t>Logistique de restauration collective</t>
        </is>
      </c>
      <c r="Q11" s="9" t="inlineStr">
        <is>
          <t>P2</t>
        </is>
      </c>
      <c r="R11" s="9" t="inlineStr">
        <is>
          <t>A vérifier</t>
        </is>
      </c>
      <c r="S11" s="13" t="inlineStr">
        <is>
          <t>Ouvrir la fiche entreprise</t>
        </is>
      </c>
      <c r="T11" s="9" t="inlineStr">
        <is>
          <t>A contacter</t>
        </is>
      </c>
      <c r="U11" s="14" t="inlineStr"/>
      <c r="V11" s="11" t="inlineStr">
        <is>
          <t>Action sociale et portage de repas sur un bassin de population important.</t>
        </is>
      </c>
    </row>
    <row r="12" ht="46" customHeight="1">
      <c r="A12" s="15" t="n">
        <v>8</v>
      </c>
      <c r="B12" s="16" t="inlineStr">
        <is>
          <t>VILLE DE BRAS-PANON</t>
        </is>
      </c>
      <c r="C12" s="15" t="inlineStr">
        <is>
          <t>Commune (fonction publique territoriale)</t>
        </is>
      </c>
      <c r="D12" s="17" t="inlineStr">
        <is>
          <t>A VERIFIER</t>
        </is>
      </c>
      <c r="E12" s="15" t="inlineStr">
        <is>
          <t>97412</t>
        </is>
      </c>
      <c r="F12" s="15" t="inlineStr">
        <is>
          <t>Bras-Panon</t>
        </is>
      </c>
      <c r="G12" s="18" t="inlineStr">
        <is>
          <t>A VERIFIER</t>
        </is>
      </c>
      <c r="H12" s="15" t="inlineStr">
        <is>
          <t>A VERIFIER</t>
        </is>
      </c>
      <c r="I12" s="17" t="inlineStr">
        <is>
          <t>A VERIFIER</t>
        </is>
      </c>
      <c r="J12" s="15" t="inlineStr">
        <is>
          <t>A COMPLETER</t>
        </is>
      </c>
      <c r="K12" s="15" t="inlineStr">
        <is>
          <t>A COMPLETER</t>
        </is>
      </c>
      <c r="L12" s="15" t="inlineStr">
        <is>
          <t>Dirigeant / DG</t>
        </is>
      </c>
      <c r="M12" s="18" t="inlineStr">
        <is>
          <t>A COMPLETER</t>
        </is>
      </c>
      <c r="N12" s="15" t="inlineStr">
        <is>
          <t>A COMPLETER</t>
        </is>
      </c>
      <c r="O12" s="15" t="inlineStr">
        <is>
          <t>A COMPLETER</t>
        </is>
      </c>
      <c r="P12" s="17" t="inlineStr">
        <is>
          <t>Magasinier / Magasin communal</t>
        </is>
      </c>
      <c r="Q12" s="15" t="inlineStr">
        <is>
          <t>P2</t>
        </is>
      </c>
      <c r="R12" s="15" t="inlineStr">
        <is>
          <t>A vérifier</t>
        </is>
      </c>
      <c r="S12" s="19" t="inlineStr">
        <is>
          <t>Ouvrir la fiche entreprise</t>
        </is>
      </c>
      <c r="T12" s="15" t="inlineStr">
        <is>
          <t>A contacter</t>
        </is>
      </c>
      <c r="U12" s="20" t="inlineStr"/>
      <c r="V12" s="17" t="inlineStr">
        <is>
          <t>Petite commune : le maire et le DGS décident vite. Magasin et parc matériel. Interlocuteurs : DGS + DRH + directeur des services techniques (c'est lui qui a le magasin).</t>
        </is>
      </c>
    </row>
    <row r="13" ht="46" customHeight="1">
      <c r="A13" s="9" t="n">
        <v>9</v>
      </c>
      <c r="B13" s="10" t="inlineStr">
        <is>
          <t>VILLE DE SAINT-BENOÎT</t>
        </is>
      </c>
      <c r="C13" s="9" t="inlineStr">
        <is>
          <t>Commune (fonction publique territoriale)</t>
        </is>
      </c>
      <c r="D13" s="11" t="inlineStr">
        <is>
          <t>A VERIFIER</t>
        </is>
      </c>
      <c r="E13" s="9" t="inlineStr">
        <is>
          <t>97470</t>
        </is>
      </c>
      <c r="F13" s="9" t="inlineStr">
        <is>
          <t>Saint-Benoît</t>
        </is>
      </c>
      <c r="G13" s="12" t="inlineStr">
        <is>
          <t>A VERIFIER</t>
        </is>
      </c>
      <c r="H13" s="9" t="inlineStr">
        <is>
          <t>A VERIFIER</t>
        </is>
      </c>
      <c r="I13" s="11" t="inlineStr">
        <is>
          <t>A VERIFIER</t>
        </is>
      </c>
      <c r="J13" s="9" t="inlineStr">
        <is>
          <t>A COMPLETER</t>
        </is>
      </c>
      <c r="K13" s="9" t="inlineStr">
        <is>
          <t>A COMPLETER</t>
        </is>
      </c>
      <c r="L13" s="9" t="inlineStr">
        <is>
          <t>Dirigeant / DG</t>
        </is>
      </c>
      <c r="M13" s="12" t="inlineStr">
        <is>
          <t>A COMPLETER</t>
        </is>
      </c>
      <c r="N13" s="9" t="inlineStr">
        <is>
          <t>A COMPLETER</t>
        </is>
      </c>
      <c r="O13" s="9" t="inlineStr">
        <is>
          <t>A COMPLETER</t>
        </is>
      </c>
      <c r="P13" s="11" t="inlineStr">
        <is>
          <t>Magasinier / Magasin communal</t>
        </is>
      </c>
      <c r="Q13" s="9" t="inlineStr">
        <is>
          <t>P1</t>
        </is>
      </c>
      <c r="R13" s="9" t="inlineStr">
        <is>
          <t>A vérifier</t>
        </is>
      </c>
      <c r="S13" s="13" t="inlineStr">
        <is>
          <t>Ouvrir la fiche entreprise</t>
        </is>
      </c>
      <c r="T13" s="9" t="inlineStr">
        <is>
          <t>A contacter</t>
        </is>
      </c>
      <c r="U13" s="14" t="inlineStr"/>
      <c r="V13" s="11" t="inlineStr">
        <is>
          <t>Ville-centre de l'Est, siège de la CIREST. Services techniques, restauration scolaire, magasin. Interlocuteurs : DGS + DRH + directeur des services techniques (c'est lui qui a le magasin).</t>
        </is>
      </c>
    </row>
    <row r="14" ht="46" customHeight="1">
      <c r="A14" s="15" t="n">
        <v>10</v>
      </c>
      <c r="B14" s="16" t="inlineStr">
        <is>
          <t>VILLE DE LA PLAINE-DES-PALMISTES</t>
        </is>
      </c>
      <c r="C14" s="15" t="inlineStr">
        <is>
          <t>Commune (fonction publique territoriale)</t>
        </is>
      </c>
      <c r="D14" s="17" t="inlineStr">
        <is>
          <t>A VERIFIER</t>
        </is>
      </c>
      <c r="E14" s="15" t="inlineStr">
        <is>
          <t>97431</t>
        </is>
      </c>
      <c r="F14" s="15" t="inlineStr">
        <is>
          <t>La Plaine-des-Palmistes</t>
        </is>
      </c>
      <c r="G14" s="18" t="inlineStr">
        <is>
          <t>A VERIFIER</t>
        </is>
      </c>
      <c r="H14" s="15" t="inlineStr">
        <is>
          <t>A VERIFIER</t>
        </is>
      </c>
      <c r="I14" s="17" t="inlineStr">
        <is>
          <t>A VERIFIER</t>
        </is>
      </c>
      <c r="J14" s="15" t="inlineStr">
        <is>
          <t>A COMPLETER</t>
        </is>
      </c>
      <c r="K14" s="15" t="inlineStr">
        <is>
          <t>A COMPLETER</t>
        </is>
      </c>
      <c r="L14" s="15" t="inlineStr">
        <is>
          <t>Dirigeant / DG</t>
        </is>
      </c>
      <c r="M14" s="18" t="inlineStr">
        <is>
          <t>A COMPLETER</t>
        </is>
      </c>
      <c r="N14" s="15" t="inlineStr">
        <is>
          <t>A COMPLETER</t>
        </is>
      </c>
      <c r="O14" s="15" t="inlineStr">
        <is>
          <t>A COMPLETER</t>
        </is>
      </c>
      <c r="P14" s="17" t="inlineStr">
        <is>
          <t>Magasinier / Magasin communal</t>
        </is>
      </c>
      <c r="Q14" s="15" t="inlineStr">
        <is>
          <t>P3</t>
        </is>
      </c>
      <c r="R14" s="15" t="inlineStr">
        <is>
          <t>A vérifier</t>
        </is>
      </c>
      <c r="S14" s="19" t="inlineStr">
        <is>
          <t>Ouvrir la fiche entreprise</t>
        </is>
      </c>
      <c r="T14" s="15" t="inlineStr">
        <is>
          <t>A contacter</t>
        </is>
      </c>
      <c r="U14" s="20" t="inlineStr"/>
      <c r="V14" s="17" t="inlineStr">
        <is>
          <t>Commune des hauteurs, effectifs réduits : viser un poste polyvalent magasin + régie. Vérifier qu'un tuteur est disponible.</t>
        </is>
      </c>
    </row>
    <row r="15" ht="46" customHeight="1">
      <c r="A15" s="9" t="n">
        <v>11</v>
      </c>
      <c r="B15" s="10" t="inlineStr">
        <is>
          <t>VILLE DE SAINTE-ROSE</t>
        </is>
      </c>
      <c r="C15" s="9" t="inlineStr">
        <is>
          <t>Commune (fonction publique territoriale)</t>
        </is>
      </c>
      <c r="D15" s="11" t="inlineStr">
        <is>
          <t>A VERIFIER</t>
        </is>
      </c>
      <c r="E15" s="9" t="inlineStr">
        <is>
          <t>97439</t>
        </is>
      </c>
      <c r="F15" s="9" t="inlineStr">
        <is>
          <t>Sainte-Rose</t>
        </is>
      </c>
      <c r="G15" s="12" t="inlineStr">
        <is>
          <t>A VERIFIER</t>
        </is>
      </c>
      <c r="H15" s="9" t="inlineStr">
        <is>
          <t>A VERIFIER</t>
        </is>
      </c>
      <c r="I15" s="11" t="inlineStr">
        <is>
          <t>A VERIFIER</t>
        </is>
      </c>
      <c r="J15" s="9" t="inlineStr">
        <is>
          <t>A COMPLETER</t>
        </is>
      </c>
      <c r="K15" s="9" t="inlineStr">
        <is>
          <t>A COMPLETER</t>
        </is>
      </c>
      <c r="L15" s="9" t="inlineStr">
        <is>
          <t>Dirigeant / DG</t>
        </is>
      </c>
      <c r="M15" s="12" t="inlineStr">
        <is>
          <t>A COMPLETER</t>
        </is>
      </c>
      <c r="N15" s="9" t="inlineStr">
        <is>
          <t>A COMPLETER</t>
        </is>
      </c>
      <c r="O15" s="9" t="inlineStr">
        <is>
          <t>A COMPLETER</t>
        </is>
      </c>
      <c r="P15" s="11" t="inlineStr">
        <is>
          <t>Magasinier / Magasin communal</t>
        </is>
      </c>
      <c r="Q15" s="9" t="inlineStr">
        <is>
          <t>P3</t>
        </is>
      </c>
      <c r="R15" s="9" t="inlineStr">
        <is>
          <t>A vérifier</t>
        </is>
      </c>
      <c r="S15" s="13" t="inlineStr">
        <is>
          <t>Ouvrir la fiche entreprise</t>
        </is>
      </c>
      <c r="T15" s="9" t="inlineStr">
        <is>
          <t>A contacter</t>
        </is>
      </c>
      <c r="U15" s="14" t="inlineStr"/>
      <c r="V15" s="11" t="inlineStr">
        <is>
          <t>Commune la plus éloignée du bassin : c'est souvent le SEUL employeur structuré de la commune. Argument fort pour un jeune du secteur qui ne peut pas se déplacer.</t>
        </is>
      </c>
    </row>
    <row r="16" ht="46" customHeight="1">
      <c r="A16" s="15" t="n">
        <v>12</v>
      </c>
      <c r="B16" s="16" t="inlineStr">
        <is>
          <t>VILLE DE SALAZIE</t>
        </is>
      </c>
      <c r="C16" s="15" t="inlineStr">
        <is>
          <t>Commune (fonction publique territoriale)</t>
        </is>
      </c>
      <c r="D16" s="17" t="inlineStr">
        <is>
          <t>A VERIFIER</t>
        </is>
      </c>
      <c r="E16" s="15" t="inlineStr">
        <is>
          <t>97433</t>
        </is>
      </c>
      <c r="F16" s="15" t="inlineStr">
        <is>
          <t>Salazie</t>
        </is>
      </c>
      <c r="G16" s="18" t="inlineStr">
        <is>
          <t>A VERIFIER</t>
        </is>
      </c>
      <c r="H16" s="15" t="inlineStr">
        <is>
          <t>A VERIFIER</t>
        </is>
      </c>
      <c r="I16" s="17" t="inlineStr">
        <is>
          <t>A VERIFIER</t>
        </is>
      </c>
      <c r="J16" s="15" t="inlineStr">
        <is>
          <t>A COMPLETER</t>
        </is>
      </c>
      <c r="K16" s="15" t="inlineStr">
        <is>
          <t>A COMPLETER</t>
        </is>
      </c>
      <c r="L16" s="15" t="inlineStr">
        <is>
          <t>Dirigeant / DG</t>
        </is>
      </c>
      <c r="M16" s="18" t="inlineStr">
        <is>
          <t>A COMPLETER</t>
        </is>
      </c>
      <c r="N16" s="15" t="inlineStr">
        <is>
          <t>A COMPLETER</t>
        </is>
      </c>
      <c r="O16" s="15" t="inlineStr">
        <is>
          <t>A COMPLETER</t>
        </is>
      </c>
      <c r="P16" s="17" t="inlineStr">
        <is>
          <t>Magasinier / Magasin communal</t>
        </is>
      </c>
      <c r="Q16" s="15" t="inlineStr">
        <is>
          <t>P3</t>
        </is>
      </c>
      <c r="R16" s="15" t="inlineStr">
        <is>
          <t>A vérifier</t>
        </is>
      </c>
      <c r="S16" s="19" t="inlineStr">
        <is>
          <t>Ouvrir la fiche entreprise</t>
        </is>
      </c>
      <c r="T16" s="15" t="inlineStr">
        <is>
          <t>A contacter</t>
        </is>
      </c>
      <c r="U16" s="20" t="inlineStr"/>
      <c r="V16" s="17" t="inlineStr">
        <is>
          <t>Cirque de Salazie : mobilité très contrainte pour les jeunes. La mairie est le principal employeur local. Même argument que Sainte-Rose.</t>
        </is>
      </c>
    </row>
  </sheetData>
  <autoFilter ref="A4:V16"/>
  <mergeCells count="2">
    <mergeCell ref="A2:V2"/>
    <mergeCell ref="A1:V1"/>
  </mergeCells>
  <dataValidations count="3">
    <dataValidation sqref="T5:T404" showDropDown="0" showInputMessage="0" showErrorMessage="0" allowBlank="1" type="list">
      <formula1>"A contacter,Message laissé,RDV pris,Visite faite,Offre déposée,Candidat proposé,Contrat signé,Sans suite"</formula1>
    </dataValidation>
    <dataValidation sqref="Q5:Q404" showDropDown="0" showInputMessage="0" showErrorMessage="0" allowBlank="1" type="list">
      <formula1>"P1,P2,P3"</formula1>
    </dataValidation>
    <dataValidation sqref="R5:R404" showDropDown="0" showInputMessage="0" showErrorMessage="0" allowBlank="1" type="list">
      <formula1>"Vérifié INSEE,Vérifié,Source annuaire,A vérifier"</formula1>
    </dataValidation>
  </dataValidations>
  <hyperlinks>
    <hyperlink xmlns:r="http://schemas.openxmlformats.org/officeDocument/2006/relationships" ref="S5" r:id="rId1"/>
    <hyperlink xmlns:r="http://schemas.openxmlformats.org/officeDocument/2006/relationships" ref="S6" r:id="rId2"/>
    <hyperlink xmlns:r="http://schemas.openxmlformats.org/officeDocument/2006/relationships" ref="S7" r:id="rId3"/>
    <hyperlink xmlns:r="http://schemas.openxmlformats.org/officeDocument/2006/relationships" ref="S8" r:id="rId4"/>
    <hyperlink xmlns:r="http://schemas.openxmlformats.org/officeDocument/2006/relationships" ref="S9" r:id="rId5"/>
    <hyperlink xmlns:r="http://schemas.openxmlformats.org/officeDocument/2006/relationships" ref="S10" r:id="rId6"/>
    <hyperlink xmlns:r="http://schemas.openxmlformats.org/officeDocument/2006/relationships" ref="S11" r:id="rId7"/>
    <hyperlink xmlns:r="http://schemas.openxmlformats.org/officeDocument/2006/relationships" ref="S12" r:id="rId8"/>
    <hyperlink xmlns:r="http://schemas.openxmlformats.org/officeDocument/2006/relationships" ref="S13" r:id="rId9"/>
    <hyperlink xmlns:r="http://schemas.openxmlformats.org/officeDocument/2006/relationships" ref="S14" r:id="rId10"/>
    <hyperlink xmlns:r="http://schemas.openxmlformats.org/officeDocument/2006/relationships" ref="S15" r:id="rId11"/>
    <hyperlink xmlns:r="http://schemas.openxmlformats.org/officeDocument/2006/relationships" ref="S16" r:id="rId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8"/>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6" customWidth="1" min="3" max="3"/>
    <col width="38" customWidth="1" min="4" max="4"/>
    <col width="7" customWidth="1" min="5" max="5"/>
    <col width="18" customWidth="1" min="6" max="6"/>
    <col width="20" customWidth="1" min="7" max="7"/>
    <col width="10" customWidth="1" min="8" max="8"/>
    <col width="32" customWidth="1" min="9" max="9"/>
    <col width="22" customWidth="1" min="10" max="10"/>
    <col width="24" customWidth="1" min="11" max="11"/>
    <col width="16" customWidth="1" min="12" max="12"/>
    <col width="16" customWidth="1" min="13" max="13"/>
    <col width="30" customWidth="1" min="14" max="14"/>
    <col width="26" customWidth="1" min="15" max="15"/>
    <col width="30" customWidth="1" min="16" max="16"/>
    <col width="9" customWidth="1" min="17" max="17"/>
    <col width="16" customWidth="1" min="18" max="18"/>
    <col width="34" customWidth="1" min="19" max="19"/>
    <col width="20" customWidth="1" min="20" max="20"/>
    <col width="18" customWidth="1" min="21" max="21"/>
    <col width="40" customWidth="1" min="22" max="22"/>
  </cols>
  <sheetData>
    <row r="1" ht="24" customHeight="1">
      <c r="A1" s="7" t="inlineStr">
        <is>
          <t>PROSPECTION PUBLIC &amp; SANTÉ – INTERCOMMUNALITÉS</t>
        </is>
      </c>
    </row>
    <row r="2" ht="16" customHeight="1">
      <c r="A2" s="2" t="inlineStr">
        <is>
          <t>CIREST, CINOR et syndicats – déchets, transports, ateliers et magasins</t>
        </is>
      </c>
    </row>
    <row r="4" ht="34" customHeight="1">
      <c r="A4" s="8" t="inlineStr">
        <is>
          <t>N°</t>
        </is>
      </c>
      <c r="B4" s="8" t="inlineStr">
        <is>
          <t>Raison sociale / Enseigne</t>
        </is>
      </c>
      <c r="C4" s="8" t="inlineStr">
        <is>
          <t>Type de structure</t>
        </is>
      </c>
      <c r="D4" s="8" t="inlineStr">
        <is>
          <t>Adresse</t>
        </is>
      </c>
      <c r="E4" s="8" t="inlineStr">
        <is>
          <t>CP</t>
        </is>
      </c>
      <c r="F4" s="8" t="inlineStr">
        <is>
          <t>Commune</t>
        </is>
      </c>
      <c r="G4" s="8" t="inlineStr">
        <is>
          <t>SIRET (14 chiffres)</t>
        </is>
      </c>
      <c r="H4" s="8" t="inlineStr">
        <is>
          <t>Code APE</t>
        </is>
      </c>
      <c r="I4" s="8" t="inlineStr">
        <is>
          <t>Libellé APE</t>
        </is>
      </c>
      <c r="J4" s="8" t="inlineStr">
        <is>
          <t>Effectif (tranche INSEE)</t>
        </is>
      </c>
      <c r="K4" s="8" t="inlineStr">
        <is>
          <t>Dirigeant (Nom Prénom)</t>
        </is>
      </c>
      <c r="L4" s="8" t="inlineStr">
        <is>
          <t>Fonction</t>
        </is>
      </c>
      <c r="M4" s="8" t="inlineStr">
        <is>
          <t>Téléphone</t>
        </is>
      </c>
      <c r="N4" s="8" t="inlineStr">
        <is>
          <t>Email contact</t>
        </is>
      </c>
      <c r="O4" s="8" t="inlineStr">
        <is>
          <t>Site web</t>
        </is>
      </c>
      <c r="P4" s="8" t="inlineStr">
        <is>
          <t>Poste apprenti visé</t>
        </is>
      </c>
      <c r="Q4" s="8" t="inlineStr">
        <is>
          <t>Priorité</t>
        </is>
      </c>
      <c r="R4" s="8" t="inlineStr">
        <is>
          <t>Fiabilité donnée</t>
        </is>
      </c>
      <c r="S4" s="8" t="inlineStr">
        <is>
          <t>Vérifier SIRET / APE / Dirigeant</t>
        </is>
      </c>
      <c r="T4" s="8" t="inlineStr">
        <is>
          <t>Statut prospection</t>
        </is>
      </c>
      <c r="U4" s="8" t="inlineStr">
        <is>
          <t>Date dernier contact</t>
        </is>
      </c>
      <c r="V4" s="8" t="inlineStr">
        <is>
          <t>Notes</t>
        </is>
      </c>
    </row>
    <row r="5" ht="46" customHeight="1">
      <c r="A5" s="9" t="n">
        <v>1</v>
      </c>
      <c r="B5" s="10" t="inlineStr">
        <is>
          <t>CIREST – COMMUNAUTÉ INTERCOMMUNALE RÉUNION EST</t>
        </is>
      </c>
      <c r="C5" s="9" t="inlineStr">
        <is>
          <t>Intercommunalité (EPCI)</t>
        </is>
      </c>
      <c r="D5" s="11" t="inlineStr">
        <is>
          <t>A VERIFIER</t>
        </is>
      </c>
      <c r="E5" s="9" t="inlineStr">
        <is>
          <t>97437</t>
        </is>
      </c>
      <c r="F5" s="9" t="inlineStr">
        <is>
          <t>Saint-Benoît</t>
        </is>
      </c>
      <c r="G5" s="12" t="inlineStr">
        <is>
          <t>A VERIFIER</t>
        </is>
      </c>
      <c r="H5" s="9" t="inlineStr">
        <is>
          <t>A VERIFIER</t>
        </is>
      </c>
      <c r="I5" s="11" t="inlineStr">
        <is>
          <t>A VERIFIER</t>
        </is>
      </c>
      <c r="J5" s="9" t="inlineStr">
        <is>
          <t>A COMPLETER</t>
        </is>
      </c>
      <c r="K5" s="9" t="inlineStr">
        <is>
          <t>A COMPLETER</t>
        </is>
      </c>
      <c r="L5" s="9" t="inlineStr">
        <is>
          <t>Dirigeant / DG</t>
        </is>
      </c>
      <c r="M5" s="12" t="inlineStr">
        <is>
          <t>A COMPLETER</t>
        </is>
      </c>
      <c r="N5" s="9" t="inlineStr">
        <is>
          <t>A COMPLETER</t>
        </is>
      </c>
      <c r="O5" s="13" t="inlineStr">
        <is>
          <t>https://www.cirest.fr/</t>
        </is>
      </c>
      <c r="P5" s="11" t="inlineStr">
        <is>
          <t>Magasinier / Gestion des stocks</t>
        </is>
      </c>
      <c r="Q5" s="9" t="inlineStr">
        <is>
          <t>P1</t>
        </is>
      </c>
      <c r="R5" s="9" t="inlineStr">
        <is>
          <t>Source annuaire</t>
        </is>
      </c>
      <c r="S5" s="13" t="inlineStr">
        <is>
          <t>Ouvrir la fiche entreprise</t>
        </is>
      </c>
      <c r="T5" s="9" t="inlineStr">
        <is>
          <t>A contacter</t>
        </is>
      </c>
      <c r="U5" s="14" t="inlineStr"/>
      <c r="V5" s="11" t="inlineStr">
        <is>
          <t>Regroupe 6 communes : Bras-Panon, La Plaine-des-Palmistes, Saint-André, Saint-Benoît, Sainte-Rose et Salazie. SIREN relevé sur l'Annuaire des Entreprises : 249740093 (le SIRET du siège reste à récupérer). Compétences déchets, transport, eau : magasins, ateliers et flux de matériel.</t>
        </is>
      </c>
    </row>
    <row r="6" ht="46" customHeight="1">
      <c r="A6" s="15" t="n">
        <v>2</v>
      </c>
      <c r="B6" s="16" t="inlineStr">
        <is>
          <t>CINOR – COMMUNAUTÉ INTERCOMMUNALE DU NORD DE LA RÉUNION</t>
        </is>
      </c>
      <c r="C6" s="15" t="inlineStr">
        <is>
          <t>Intercommunalité (EPCI)</t>
        </is>
      </c>
      <c r="D6" s="17" t="inlineStr">
        <is>
          <t>A VERIFIER</t>
        </is>
      </c>
      <c r="E6" s="15" t="inlineStr">
        <is>
          <t>97400</t>
        </is>
      </c>
      <c r="F6" s="15" t="inlineStr">
        <is>
          <t>Saint-Denis</t>
        </is>
      </c>
      <c r="G6" s="18" t="inlineStr">
        <is>
          <t>A VERIFIER</t>
        </is>
      </c>
      <c r="H6" s="15" t="inlineStr">
        <is>
          <t>A VERIFIER</t>
        </is>
      </c>
      <c r="I6" s="17" t="inlineStr">
        <is>
          <t>A VERIFIER</t>
        </is>
      </c>
      <c r="J6" s="15" t="inlineStr">
        <is>
          <t>A COMPLETER</t>
        </is>
      </c>
      <c r="K6" s="15" t="inlineStr">
        <is>
          <t>A COMPLETER</t>
        </is>
      </c>
      <c r="L6" s="15" t="inlineStr">
        <is>
          <t>Dirigeant / DG</t>
        </is>
      </c>
      <c r="M6" s="18" t="inlineStr">
        <is>
          <t>A COMPLETER</t>
        </is>
      </c>
      <c r="N6" s="15" t="inlineStr">
        <is>
          <t>A COMPLETER</t>
        </is>
      </c>
      <c r="O6" s="15" t="inlineStr">
        <is>
          <t>A COMPLETER</t>
        </is>
      </c>
      <c r="P6" s="17" t="inlineStr">
        <is>
          <t>Magasinier / Gestion des stocks</t>
        </is>
      </c>
      <c r="Q6" s="15" t="inlineStr">
        <is>
          <t>P1</t>
        </is>
      </c>
      <c r="R6" s="15" t="inlineStr">
        <is>
          <t>Source annuaire</t>
        </is>
      </c>
      <c r="S6" s="19" t="inlineStr">
        <is>
          <t>Ouvrir la fiche entreprise</t>
        </is>
      </c>
      <c r="T6" s="15" t="inlineStr">
        <is>
          <t>A contacter</t>
        </is>
      </c>
      <c r="U6" s="20" t="inlineStr"/>
      <c r="V6" s="17" t="inlineStr">
        <is>
          <t>Regroupe Saint-Denis, Sainte-Marie et Sainte-Suzanne. Compétences déchets, transports, développement économique : ateliers, magasins, parc de bacs et de conteneurs à gérer.</t>
        </is>
      </c>
    </row>
    <row r="7" ht="46" customHeight="1">
      <c r="A7" s="9" t="n">
        <v>3</v>
      </c>
      <c r="B7" s="10" t="inlineStr">
        <is>
          <t>SYDNE – SYNDICAT MIXTE DE TRAITEMENT DES DÉCHETS</t>
        </is>
      </c>
      <c r="C7" s="9" t="inlineStr">
        <is>
          <t>Syndicat mixte</t>
        </is>
      </c>
      <c r="D7" s="11" t="inlineStr">
        <is>
          <t>A VERIFIER</t>
        </is>
      </c>
      <c r="E7" s="9" t="inlineStr">
        <is>
          <t>97400</t>
        </is>
      </c>
      <c r="F7" s="9" t="inlineStr">
        <is>
          <t>Saint-Denis</t>
        </is>
      </c>
      <c r="G7" s="12" t="inlineStr">
        <is>
          <t>A VERIFIER</t>
        </is>
      </c>
      <c r="H7" s="9" t="inlineStr">
        <is>
          <t>A VERIFIER</t>
        </is>
      </c>
      <c r="I7" s="11" t="inlineStr">
        <is>
          <t>A VERIFIER</t>
        </is>
      </c>
      <c r="J7" s="9" t="inlineStr">
        <is>
          <t>A COMPLETER</t>
        </is>
      </c>
      <c r="K7" s="9" t="inlineStr">
        <is>
          <t>A COMPLETER</t>
        </is>
      </c>
      <c r="L7" s="9" t="inlineStr">
        <is>
          <t>Dirigeant / DG</t>
        </is>
      </c>
      <c r="M7" s="12" t="inlineStr">
        <is>
          <t>A COMPLETER</t>
        </is>
      </c>
      <c r="N7" s="9" t="inlineStr">
        <is>
          <t>A COMPLETER</t>
        </is>
      </c>
      <c r="O7" s="9" t="inlineStr">
        <is>
          <t>A COMPLETER</t>
        </is>
      </c>
      <c r="P7" s="11" t="inlineStr">
        <is>
          <t>Opérateur logistique / Prépa. commandes</t>
        </is>
      </c>
      <c r="Q7" s="9" t="inlineStr">
        <is>
          <t>P2</t>
        </is>
      </c>
      <c r="R7" s="9" t="inlineStr">
        <is>
          <t>A vérifier</t>
        </is>
      </c>
      <c r="S7" s="13" t="inlineStr">
        <is>
          <t>Ouvrir la fiche entreprise</t>
        </is>
      </c>
      <c r="T7" s="9" t="inlineStr">
        <is>
          <t>A contacter</t>
        </is>
      </c>
      <c r="U7" s="14" t="inlineStr"/>
      <c r="V7" s="11" t="inlineStr">
        <is>
          <t>Syndicat de traitement des déchets porté par la CINOR et la CIREST. Flux, pesée, quais de transfert : environnement logistique réel. Confirmer le siège et la commune avant l'appel.</t>
        </is>
      </c>
    </row>
    <row r="8" ht="46" customHeight="1">
      <c r="A8" s="15" t="n">
        <v>4</v>
      </c>
      <c r="B8" s="16" t="inlineStr">
        <is>
          <t>SIDELEC RÉUNION</t>
        </is>
      </c>
      <c r="C8" s="15" t="inlineStr">
        <is>
          <t>Syndicat intercommunal d'électricité</t>
        </is>
      </c>
      <c r="D8" s="17" t="inlineStr">
        <is>
          <t>A VERIFIER</t>
        </is>
      </c>
      <c r="E8" s="15" t="inlineStr">
        <is>
          <t>97400</t>
        </is>
      </c>
      <c r="F8" s="15" t="inlineStr">
        <is>
          <t>Saint-Denis</t>
        </is>
      </c>
      <c r="G8" s="18" t="inlineStr">
        <is>
          <t>A VERIFIER</t>
        </is>
      </c>
      <c r="H8" s="15" t="inlineStr">
        <is>
          <t>A VERIFIER</t>
        </is>
      </c>
      <c r="I8" s="17" t="inlineStr">
        <is>
          <t>A VERIFIER</t>
        </is>
      </c>
      <c r="J8" s="15" t="inlineStr">
        <is>
          <t>A COMPLETER</t>
        </is>
      </c>
      <c r="K8" s="15" t="inlineStr">
        <is>
          <t>A COMPLETER</t>
        </is>
      </c>
      <c r="L8" s="15" t="inlineStr">
        <is>
          <t>Dirigeant / DG</t>
        </is>
      </c>
      <c r="M8" s="18" t="inlineStr">
        <is>
          <t>A COMPLETER</t>
        </is>
      </c>
      <c r="N8" s="15" t="inlineStr">
        <is>
          <t>A COMPLETER</t>
        </is>
      </c>
      <c r="O8" s="15" t="inlineStr">
        <is>
          <t>A COMPLETER</t>
        </is>
      </c>
      <c r="P8" s="17" t="inlineStr">
        <is>
          <t>Magasinier atelier / Parc matériel</t>
        </is>
      </c>
      <c r="Q8" s="15" t="inlineStr">
        <is>
          <t>P3</t>
        </is>
      </c>
      <c r="R8" s="15" t="inlineStr">
        <is>
          <t>A vérifier</t>
        </is>
      </c>
      <c r="S8" s="19" t="inlineStr">
        <is>
          <t>Ouvrir la fiche entreprise</t>
        </is>
      </c>
      <c r="T8" s="15" t="inlineStr">
        <is>
          <t>A contacter</t>
        </is>
      </c>
      <c r="U8" s="20" t="inlineStr"/>
      <c r="V8" s="17" t="inlineStr">
        <is>
          <t>Syndicat d'électrification : magasin de matériel électrique et parc. Vérifier l'existence d'un magasin propre avant de prospecter.</t>
        </is>
      </c>
    </row>
  </sheetData>
  <autoFilter ref="A4:V8"/>
  <mergeCells count="2">
    <mergeCell ref="A2:V2"/>
    <mergeCell ref="A1:V1"/>
  </mergeCells>
  <dataValidations count="3">
    <dataValidation sqref="T5:T404" showDropDown="0" showInputMessage="0" showErrorMessage="0" allowBlank="1" type="list">
      <formula1>"A contacter,Message laissé,RDV pris,Visite faite,Offre déposée,Candidat proposé,Contrat signé,Sans suite"</formula1>
    </dataValidation>
    <dataValidation sqref="Q5:Q404" showDropDown="0" showInputMessage="0" showErrorMessage="0" allowBlank="1" type="list">
      <formula1>"P1,P2,P3"</formula1>
    </dataValidation>
    <dataValidation sqref="R5:R404" showDropDown="0" showInputMessage="0" showErrorMessage="0" allowBlank="1" type="list">
      <formula1>"Vérifié INSEE,Vérifié,Source annuaire,A vérifier"</formula1>
    </dataValidation>
  </dataValidations>
  <hyperlinks>
    <hyperlink xmlns:r="http://schemas.openxmlformats.org/officeDocument/2006/relationships" ref="O5" r:id="rId1"/>
    <hyperlink xmlns:r="http://schemas.openxmlformats.org/officeDocument/2006/relationships" ref="S5" r:id="rId2"/>
    <hyperlink xmlns:r="http://schemas.openxmlformats.org/officeDocument/2006/relationships" ref="S6" r:id="rId3"/>
    <hyperlink xmlns:r="http://schemas.openxmlformats.org/officeDocument/2006/relationships" ref="S7" r:id="rId4"/>
    <hyperlink xmlns:r="http://schemas.openxmlformats.org/officeDocument/2006/relationships" ref="S8" r:id="rId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0"/>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6" customWidth="1" min="3" max="3"/>
    <col width="38" customWidth="1" min="4" max="4"/>
    <col width="7" customWidth="1" min="5" max="5"/>
    <col width="18" customWidth="1" min="6" max="6"/>
    <col width="20" customWidth="1" min="7" max="7"/>
    <col width="10" customWidth="1" min="8" max="8"/>
    <col width="32" customWidth="1" min="9" max="9"/>
    <col width="22" customWidth="1" min="10" max="10"/>
    <col width="24" customWidth="1" min="11" max="11"/>
    <col width="16" customWidth="1" min="12" max="12"/>
    <col width="16" customWidth="1" min="13" max="13"/>
    <col width="30" customWidth="1" min="14" max="14"/>
    <col width="26" customWidth="1" min="15" max="15"/>
    <col width="30" customWidth="1" min="16" max="16"/>
    <col width="9" customWidth="1" min="17" max="17"/>
    <col width="16" customWidth="1" min="18" max="18"/>
    <col width="34" customWidth="1" min="19" max="19"/>
    <col width="20" customWidth="1" min="20" max="20"/>
    <col width="18" customWidth="1" min="21" max="21"/>
    <col width="40" customWidth="1" min="22" max="22"/>
  </cols>
  <sheetData>
    <row r="1" ht="24" customHeight="1">
      <c r="A1" s="7" t="inlineStr">
        <is>
          <t>PROSPECTION PUBLIC &amp; SANTÉ – DÉPARTEMENT, RÉGION &amp; ÉTAT</t>
        </is>
      </c>
    </row>
    <row r="2" ht="16" customHeight="1">
      <c r="A2" s="2" t="inlineStr">
        <is>
          <t>Département, Région, Rectorat, Université, CROUS, SDIS – les gros employeurs publics</t>
        </is>
      </c>
    </row>
    <row r="4" ht="34" customHeight="1">
      <c r="A4" s="8" t="inlineStr">
        <is>
          <t>N°</t>
        </is>
      </c>
      <c r="B4" s="8" t="inlineStr">
        <is>
          <t>Raison sociale / Enseigne</t>
        </is>
      </c>
      <c r="C4" s="8" t="inlineStr">
        <is>
          <t>Type de structure</t>
        </is>
      </c>
      <c r="D4" s="8" t="inlineStr">
        <is>
          <t>Adresse</t>
        </is>
      </c>
      <c r="E4" s="8" t="inlineStr">
        <is>
          <t>CP</t>
        </is>
      </c>
      <c r="F4" s="8" t="inlineStr">
        <is>
          <t>Commune</t>
        </is>
      </c>
      <c r="G4" s="8" t="inlineStr">
        <is>
          <t>SIRET (14 chiffres)</t>
        </is>
      </c>
      <c r="H4" s="8" t="inlineStr">
        <is>
          <t>Code APE</t>
        </is>
      </c>
      <c r="I4" s="8" t="inlineStr">
        <is>
          <t>Libellé APE</t>
        </is>
      </c>
      <c r="J4" s="8" t="inlineStr">
        <is>
          <t>Effectif (tranche INSEE)</t>
        </is>
      </c>
      <c r="K4" s="8" t="inlineStr">
        <is>
          <t>Dirigeant (Nom Prénom)</t>
        </is>
      </c>
      <c r="L4" s="8" t="inlineStr">
        <is>
          <t>Fonction</t>
        </is>
      </c>
      <c r="M4" s="8" t="inlineStr">
        <is>
          <t>Téléphone</t>
        </is>
      </c>
      <c r="N4" s="8" t="inlineStr">
        <is>
          <t>Email contact</t>
        </is>
      </c>
      <c r="O4" s="8" t="inlineStr">
        <is>
          <t>Site web</t>
        </is>
      </c>
      <c r="P4" s="8" t="inlineStr">
        <is>
          <t>Poste apprenti visé</t>
        </is>
      </c>
      <c r="Q4" s="8" t="inlineStr">
        <is>
          <t>Priorité</t>
        </is>
      </c>
      <c r="R4" s="8" t="inlineStr">
        <is>
          <t>Fiabilité donnée</t>
        </is>
      </c>
      <c r="S4" s="8" t="inlineStr">
        <is>
          <t>Vérifier SIRET / APE / Dirigeant</t>
        </is>
      </c>
      <c r="T4" s="8" t="inlineStr">
        <is>
          <t>Statut prospection</t>
        </is>
      </c>
      <c r="U4" s="8" t="inlineStr">
        <is>
          <t>Date dernier contact</t>
        </is>
      </c>
      <c r="V4" s="8" t="inlineStr">
        <is>
          <t>Notes</t>
        </is>
      </c>
    </row>
    <row r="5" ht="46" customHeight="1">
      <c r="A5" s="9" t="n">
        <v>1</v>
      </c>
      <c r="B5" s="10" t="inlineStr">
        <is>
          <t>CONSEIL DÉPARTEMENTAL DE LA RÉUNION</t>
        </is>
      </c>
      <c r="C5" s="9" t="inlineStr">
        <is>
          <t>Département (collectivité)</t>
        </is>
      </c>
      <c r="D5" s="11" t="inlineStr">
        <is>
          <t>2 rue de la Source – Hôtel du Département</t>
        </is>
      </c>
      <c r="E5" s="9" t="inlineStr">
        <is>
          <t>97400</t>
        </is>
      </c>
      <c r="F5" s="9" t="inlineStr">
        <is>
          <t>Saint-Denis</t>
        </is>
      </c>
      <c r="G5" s="12" t="inlineStr">
        <is>
          <t>A VERIFIER</t>
        </is>
      </c>
      <c r="H5" s="9" t="inlineStr">
        <is>
          <t>A VERIFIER</t>
        </is>
      </c>
      <c r="I5" s="11" t="inlineStr">
        <is>
          <t>A VERIFIER</t>
        </is>
      </c>
      <c r="J5" s="9" t="inlineStr">
        <is>
          <t>A COMPLETER</t>
        </is>
      </c>
      <c r="K5" s="9" t="inlineStr">
        <is>
          <t>A COMPLETER</t>
        </is>
      </c>
      <c r="L5" s="9" t="inlineStr">
        <is>
          <t>Dirigeant / DG</t>
        </is>
      </c>
      <c r="M5" s="12" t="inlineStr">
        <is>
          <t>A COMPLETER</t>
        </is>
      </c>
      <c r="N5" s="9" t="inlineStr">
        <is>
          <t>A COMPLETER</t>
        </is>
      </c>
      <c r="O5" s="9" t="inlineStr">
        <is>
          <t>A COMPLETER</t>
        </is>
      </c>
      <c r="P5" s="11" t="inlineStr">
        <is>
          <t>Magasinier / Gestion des stocks</t>
        </is>
      </c>
      <c r="Q5" s="9" t="inlineStr">
        <is>
          <t>P1</t>
        </is>
      </c>
      <c r="R5" s="9" t="inlineStr">
        <is>
          <t>Source annuaire</t>
        </is>
      </c>
      <c r="S5" s="13" t="inlineStr">
        <is>
          <t>Ouvrir la fiche entreprise</t>
        </is>
      </c>
      <c r="T5" s="9" t="inlineStr">
        <is>
          <t>A contacter</t>
        </is>
      </c>
      <c r="U5" s="14" t="inlineStr"/>
      <c r="V5" s="11" t="inlineStr">
        <is>
          <t>Très gros employeur territorial. Gère les COLLÈGES (restauration et matériel), les routes départementales, l'action sociale : magasins, économats et parcs sur tout le territoire, y compris à l'Est. Passer par la DRH ET la direction de la logistique / des moyens généraux.</t>
        </is>
      </c>
    </row>
    <row r="6" ht="46" customHeight="1">
      <c r="A6" s="15" t="n">
        <v>2</v>
      </c>
      <c r="B6" s="16" t="inlineStr">
        <is>
          <t>RÉGION RÉUNION</t>
        </is>
      </c>
      <c r="C6" s="15" t="inlineStr">
        <is>
          <t>Région (collectivité)</t>
        </is>
      </c>
      <c r="D6" s="17" t="inlineStr">
        <is>
          <t>Avenue René Cassin – Moufia, Hôtel de Région Pierre Lagourgue</t>
        </is>
      </c>
      <c r="E6" s="15" t="inlineStr">
        <is>
          <t>97490</t>
        </is>
      </c>
      <c r="F6" s="15" t="inlineStr">
        <is>
          <t>Sainte-Clotilde (Saint-Denis)</t>
        </is>
      </c>
      <c r="G6" s="18" t="inlineStr">
        <is>
          <t>A VERIFIER</t>
        </is>
      </c>
      <c r="H6" s="15" t="inlineStr">
        <is>
          <t>A VERIFIER</t>
        </is>
      </c>
      <c r="I6" s="17" t="inlineStr">
        <is>
          <t>A VERIFIER</t>
        </is>
      </c>
      <c r="J6" s="15" t="inlineStr">
        <is>
          <t>A COMPLETER</t>
        </is>
      </c>
      <c r="K6" s="15" t="inlineStr">
        <is>
          <t>A COMPLETER</t>
        </is>
      </c>
      <c r="L6" s="15" t="inlineStr">
        <is>
          <t>Dirigeant / DG</t>
        </is>
      </c>
      <c r="M6" s="18" t="inlineStr">
        <is>
          <t>A COMPLETER</t>
        </is>
      </c>
      <c r="N6" s="15" t="inlineStr">
        <is>
          <t>A COMPLETER</t>
        </is>
      </c>
      <c r="O6" s="15" t="inlineStr">
        <is>
          <t>A COMPLETER</t>
        </is>
      </c>
      <c r="P6" s="17" t="inlineStr">
        <is>
          <t>Magasinier / Gestion des stocks</t>
        </is>
      </c>
      <c r="Q6" s="15" t="inlineStr">
        <is>
          <t>P1</t>
        </is>
      </c>
      <c r="R6" s="15" t="inlineStr">
        <is>
          <t>Source annuaire</t>
        </is>
      </c>
      <c r="S6" s="19" t="inlineStr">
        <is>
          <t>Ouvrir la fiche entreprise</t>
        </is>
      </c>
      <c r="T6" s="15" t="inlineStr">
        <is>
          <t>A contacter</t>
        </is>
      </c>
      <c r="U6" s="20" t="inlineStr"/>
      <c r="V6" s="17" t="inlineStr">
        <is>
          <t>Gère les LYCÉES (restauration, équipement, maintenance) et les grandes infrastructures. Deux portes d'entrée : les moyens généraux de la Région, et chaque lycée pris individuellement (voir onglet 04).</t>
        </is>
      </c>
    </row>
    <row r="7" ht="46" customHeight="1">
      <c r="A7" s="9" t="n">
        <v>3</v>
      </c>
      <c r="B7" s="10" t="inlineStr">
        <is>
          <t>RECTORAT DE L'ACADÉMIE DE LA RÉUNION</t>
        </is>
      </c>
      <c r="C7" s="9" t="inlineStr">
        <is>
          <t>État (éducation nationale)</t>
        </is>
      </c>
      <c r="D7" s="11" t="inlineStr">
        <is>
          <t>24 avenue Georges Brassens – Le Moufia</t>
        </is>
      </c>
      <c r="E7" s="9" t="inlineStr">
        <is>
          <t>97490</t>
        </is>
      </c>
      <c r="F7" s="9" t="inlineStr">
        <is>
          <t>Sainte-Clotilde (Saint-Denis)</t>
        </is>
      </c>
      <c r="G7" s="12" t="inlineStr">
        <is>
          <t>A VERIFIER</t>
        </is>
      </c>
      <c r="H7" s="9" t="inlineStr">
        <is>
          <t>A VERIFIER</t>
        </is>
      </c>
      <c r="I7" s="11" t="inlineStr">
        <is>
          <t>A VERIFIER</t>
        </is>
      </c>
      <c r="J7" s="9" t="inlineStr">
        <is>
          <t>A COMPLETER</t>
        </is>
      </c>
      <c r="K7" s="9" t="inlineStr">
        <is>
          <t>A COMPLETER</t>
        </is>
      </c>
      <c r="L7" s="9" t="inlineStr">
        <is>
          <t>Dirigeant / DG</t>
        </is>
      </c>
      <c r="M7" s="12" t="inlineStr">
        <is>
          <t>A COMPLETER</t>
        </is>
      </c>
      <c r="N7" s="9" t="inlineStr">
        <is>
          <t>A COMPLETER</t>
        </is>
      </c>
      <c r="O7" s="9" t="inlineStr">
        <is>
          <t>A COMPLETER</t>
        </is>
      </c>
      <c r="P7" s="11" t="inlineStr">
        <is>
          <t>Agent d'économat / Réception-stocks</t>
        </is>
      </c>
      <c r="Q7" s="9" t="inlineStr">
        <is>
          <t>P2</t>
        </is>
      </c>
      <c r="R7" s="9" t="inlineStr">
        <is>
          <t>Source annuaire</t>
        </is>
      </c>
      <c r="S7" s="13" t="inlineStr">
        <is>
          <t>Ouvrir la fiche entreprise</t>
        </is>
      </c>
      <c r="T7" s="9" t="inlineStr">
        <is>
          <t>A contacter</t>
        </is>
      </c>
      <c r="U7" s="14" t="inlineStr"/>
      <c r="V7" s="11" t="inlineStr">
        <is>
          <t>Fonction publique d'État : apprentissage possible. Services logistiques, reprographie, magasin. Ouvre surtout la porte des lycées et collèges du bassin.</t>
        </is>
      </c>
    </row>
    <row r="8" ht="46" customHeight="1">
      <c r="A8" s="15" t="n">
        <v>4</v>
      </c>
      <c r="B8" s="16" t="inlineStr">
        <is>
          <t>UNIVERSITÉ DE LA RÉUNION</t>
        </is>
      </c>
      <c r="C8" s="15" t="inlineStr">
        <is>
          <t>Établissement public d'enseignement supérieur</t>
        </is>
      </c>
      <c r="D8" s="17" t="inlineStr">
        <is>
          <t>15 avenue René Cassin – Campus du Moufia</t>
        </is>
      </c>
      <c r="E8" s="15" t="inlineStr">
        <is>
          <t>97490</t>
        </is>
      </c>
      <c r="F8" s="15" t="inlineStr">
        <is>
          <t>Sainte-Clotilde (Saint-Denis)</t>
        </is>
      </c>
      <c r="G8" s="18" t="inlineStr">
        <is>
          <t>A VERIFIER</t>
        </is>
      </c>
      <c r="H8" s="15" t="inlineStr">
        <is>
          <t>A VERIFIER</t>
        </is>
      </c>
      <c r="I8" s="17" t="inlineStr">
        <is>
          <t>A VERIFIER</t>
        </is>
      </c>
      <c r="J8" s="15" t="inlineStr">
        <is>
          <t>A COMPLETER</t>
        </is>
      </c>
      <c r="K8" s="15" t="inlineStr">
        <is>
          <t>A COMPLETER</t>
        </is>
      </c>
      <c r="L8" s="15" t="inlineStr">
        <is>
          <t>Dirigeant / DG</t>
        </is>
      </c>
      <c r="M8" s="18" t="inlineStr">
        <is>
          <t>A COMPLETER</t>
        </is>
      </c>
      <c r="N8" s="15" t="inlineStr">
        <is>
          <t>A COMPLETER</t>
        </is>
      </c>
      <c r="O8" s="15" t="inlineStr">
        <is>
          <t>A COMPLETER</t>
        </is>
      </c>
      <c r="P8" s="17" t="inlineStr">
        <is>
          <t>Magasinier / Gestion des stocks</t>
        </is>
      </c>
      <c r="Q8" s="15" t="inlineStr">
        <is>
          <t>P2</t>
        </is>
      </c>
      <c r="R8" s="15" t="inlineStr">
        <is>
          <t>Source annuaire</t>
        </is>
      </c>
      <c r="S8" s="19" t="inlineStr">
        <is>
          <t>Ouvrir la fiche entreprise</t>
        </is>
      </c>
      <c r="T8" s="15" t="inlineStr">
        <is>
          <t>A contacter</t>
        </is>
      </c>
      <c r="U8" s="20" t="inlineStr"/>
      <c r="V8" s="17" t="inlineStr">
        <is>
          <t>Magasin central, laboratoires, reprographie, logistique de campus. Structure habituée à l'alternance : dossier administratif bien rodé.</t>
        </is>
      </c>
    </row>
    <row r="9" ht="46" customHeight="1">
      <c r="A9" s="9" t="n">
        <v>5</v>
      </c>
      <c r="B9" s="10" t="inlineStr">
        <is>
          <t>CROUS DE LA RÉUNION</t>
        </is>
      </c>
      <c r="C9" s="9" t="inlineStr">
        <is>
          <t>Établissement public (vie étudiante)</t>
        </is>
      </c>
      <c r="D9" s="11" t="inlineStr">
        <is>
          <t>A VERIFIER</t>
        </is>
      </c>
      <c r="E9" s="9" t="inlineStr">
        <is>
          <t>97490</t>
        </is>
      </c>
      <c r="F9" s="9" t="inlineStr">
        <is>
          <t>Sainte-Clotilde (Saint-Denis)</t>
        </is>
      </c>
      <c r="G9" s="12" t="inlineStr">
        <is>
          <t>A VERIFIER</t>
        </is>
      </c>
      <c r="H9" s="9" t="inlineStr">
        <is>
          <t>A VERIFIER</t>
        </is>
      </c>
      <c r="I9" s="11" t="inlineStr">
        <is>
          <t>A VERIFIER</t>
        </is>
      </c>
      <c r="J9" s="9" t="inlineStr">
        <is>
          <t>A COMPLETER</t>
        </is>
      </c>
      <c r="K9" s="9" t="inlineStr">
        <is>
          <t>A COMPLETER</t>
        </is>
      </c>
      <c r="L9" s="9" t="inlineStr">
        <is>
          <t>Dirigeant / DG</t>
        </is>
      </c>
      <c r="M9" s="12" t="inlineStr">
        <is>
          <t>A COMPLETER</t>
        </is>
      </c>
      <c r="N9" s="9" t="inlineStr">
        <is>
          <t>A COMPLETER</t>
        </is>
      </c>
      <c r="O9" s="9" t="inlineStr">
        <is>
          <t>A COMPLETER</t>
        </is>
      </c>
      <c r="P9" s="11" t="inlineStr">
        <is>
          <t>Logistique de restauration collective</t>
        </is>
      </c>
      <c r="Q9" s="9" t="inlineStr">
        <is>
          <t>P2</t>
        </is>
      </c>
      <c r="R9" s="9" t="inlineStr">
        <is>
          <t>A vérifier</t>
        </is>
      </c>
      <c r="S9" s="13" t="inlineStr">
        <is>
          <t>Ouvrir la fiche entreprise</t>
        </is>
      </c>
      <c r="T9" s="9" t="inlineStr">
        <is>
          <t>A contacter</t>
        </is>
      </c>
      <c r="U9" s="14" t="inlineStr"/>
      <c r="V9" s="11" t="inlineStr">
        <is>
          <t>Restauration universitaire et résidences : réception de denrées, gestion de stocks, approvisionnement de plusieurs points de vente. Vrai métier logistique.</t>
        </is>
      </c>
    </row>
    <row r="10" ht="46" customHeight="1">
      <c r="A10" s="15" t="n">
        <v>6</v>
      </c>
      <c r="B10" s="16" t="inlineStr">
        <is>
          <t>SDIS 974 – SERVICE D'INCENDIE ET DE SECOURS</t>
        </is>
      </c>
      <c r="C10" s="15" t="inlineStr">
        <is>
          <t>Établissement public territorial</t>
        </is>
      </c>
      <c r="D10" s="17" t="inlineStr">
        <is>
          <t>A VERIFIER</t>
        </is>
      </c>
      <c r="E10" s="15" t="inlineStr">
        <is>
          <t>97400</t>
        </is>
      </c>
      <c r="F10" s="15" t="inlineStr">
        <is>
          <t>Saint-Denis</t>
        </is>
      </c>
      <c r="G10" s="18" t="inlineStr">
        <is>
          <t>A VERIFIER</t>
        </is>
      </c>
      <c r="H10" s="15" t="inlineStr">
        <is>
          <t>A VERIFIER</t>
        </is>
      </c>
      <c r="I10" s="17" t="inlineStr">
        <is>
          <t>A VERIFIER</t>
        </is>
      </c>
      <c r="J10" s="15" t="inlineStr">
        <is>
          <t>A COMPLETER</t>
        </is>
      </c>
      <c r="K10" s="15" t="inlineStr">
        <is>
          <t>A COMPLETER</t>
        </is>
      </c>
      <c r="L10" s="15" t="inlineStr">
        <is>
          <t>Dirigeant / DG</t>
        </is>
      </c>
      <c r="M10" s="18" t="inlineStr">
        <is>
          <t>A COMPLETER</t>
        </is>
      </c>
      <c r="N10" s="15" t="inlineStr">
        <is>
          <t>A COMPLETER</t>
        </is>
      </c>
      <c r="O10" s="15" t="inlineStr">
        <is>
          <t>A COMPLETER</t>
        </is>
      </c>
      <c r="P10" s="17" t="inlineStr">
        <is>
          <t>Magasinier / Gestion des stocks</t>
        </is>
      </c>
      <c r="Q10" s="15" t="inlineStr">
        <is>
          <t>P1</t>
        </is>
      </c>
      <c r="R10" s="15" t="inlineStr">
        <is>
          <t>A vérifier</t>
        </is>
      </c>
      <c r="S10" s="19" t="inlineStr">
        <is>
          <t>Ouvrir la fiche entreprise</t>
        </is>
      </c>
      <c r="T10" s="15" t="inlineStr">
        <is>
          <t>A contacter</t>
        </is>
      </c>
      <c r="U10" s="20" t="inlineStr"/>
      <c r="V10" s="17" t="inlineStr">
        <is>
          <t>Magasin d'habillement, magasin de matériel de secours, pharmacie, parc de véhicules, approvisionnement de tous les centres de secours du département. L'un des plus beaux terrains logistiques du public. Confirmer l'adresse de l'état-major et le service en charge de la logistique.</t>
        </is>
      </c>
    </row>
  </sheetData>
  <autoFilter ref="A4:V10"/>
  <mergeCells count="2">
    <mergeCell ref="A2:V2"/>
    <mergeCell ref="A1:V1"/>
  </mergeCells>
  <dataValidations count="3">
    <dataValidation sqref="T5:T404" showDropDown="0" showInputMessage="0" showErrorMessage="0" allowBlank="1" type="list">
      <formula1>"A contacter,Message laissé,RDV pris,Visite faite,Offre déposée,Candidat proposé,Contrat signé,Sans suite"</formula1>
    </dataValidation>
    <dataValidation sqref="Q5:Q404" showDropDown="0" showInputMessage="0" showErrorMessage="0" allowBlank="1" type="list">
      <formula1>"P1,P2,P3"</formula1>
    </dataValidation>
    <dataValidation sqref="R5:R404" showDropDown="0" showInputMessage="0" showErrorMessage="0" allowBlank="1" type="list">
      <formula1>"Vérifié INSEE,Vérifié,Source annuaire,A vérifier"</formula1>
    </dataValidation>
  </dataValidations>
  <hyperlinks>
    <hyperlink xmlns:r="http://schemas.openxmlformats.org/officeDocument/2006/relationships" ref="S5" r:id="rId1"/>
    <hyperlink xmlns:r="http://schemas.openxmlformats.org/officeDocument/2006/relationships" ref="S6" r:id="rId2"/>
    <hyperlink xmlns:r="http://schemas.openxmlformats.org/officeDocument/2006/relationships" ref="S7" r:id="rId3"/>
    <hyperlink xmlns:r="http://schemas.openxmlformats.org/officeDocument/2006/relationships" ref="S8" r:id="rId4"/>
    <hyperlink xmlns:r="http://schemas.openxmlformats.org/officeDocument/2006/relationships" ref="S9" r:id="rId5"/>
    <hyperlink xmlns:r="http://schemas.openxmlformats.org/officeDocument/2006/relationships" ref="S10"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0"/>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6" customWidth="1" min="3" max="3"/>
    <col width="38" customWidth="1" min="4" max="4"/>
    <col width="7" customWidth="1" min="5" max="5"/>
    <col width="18" customWidth="1" min="6" max="6"/>
    <col width="20" customWidth="1" min="7" max="7"/>
    <col width="10" customWidth="1" min="8" max="8"/>
    <col width="32" customWidth="1" min="9" max="9"/>
    <col width="22" customWidth="1" min="10" max="10"/>
    <col width="24" customWidth="1" min="11" max="11"/>
    <col width="16" customWidth="1" min="12" max="12"/>
    <col width="16" customWidth="1" min="13" max="13"/>
    <col width="30" customWidth="1" min="14" max="14"/>
    <col width="26" customWidth="1" min="15" max="15"/>
    <col width="30" customWidth="1" min="16" max="16"/>
    <col width="9" customWidth="1" min="17" max="17"/>
    <col width="16" customWidth="1" min="18" max="18"/>
    <col width="34" customWidth="1" min="19" max="19"/>
    <col width="20" customWidth="1" min="20" max="20"/>
    <col width="18" customWidth="1" min="21" max="21"/>
    <col width="40" customWidth="1" min="22" max="22"/>
  </cols>
  <sheetData>
    <row r="1" ht="24" customHeight="1">
      <c r="A1" s="7" t="inlineStr">
        <is>
          <t>PROSPECTION PUBLIC &amp; SANTÉ – LYCÉES &amp; COLLÈGES</t>
        </is>
      </c>
    </row>
    <row r="2" ht="16" customHeight="1">
      <c r="A2" s="2" t="inlineStr">
        <is>
          <t>EPLE du bassin – magasin d'intendance et restauration scolaire (voir l'adjoint gestionnaire)</t>
        </is>
      </c>
    </row>
    <row r="4" ht="34" customHeight="1">
      <c r="A4" s="8" t="inlineStr">
        <is>
          <t>N°</t>
        </is>
      </c>
      <c r="B4" s="8" t="inlineStr">
        <is>
          <t>Raison sociale / Enseigne</t>
        </is>
      </c>
      <c r="C4" s="8" t="inlineStr">
        <is>
          <t>Type de structure</t>
        </is>
      </c>
      <c r="D4" s="8" t="inlineStr">
        <is>
          <t>Adresse</t>
        </is>
      </c>
      <c r="E4" s="8" t="inlineStr">
        <is>
          <t>CP</t>
        </is>
      </c>
      <c r="F4" s="8" t="inlineStr">
        <is>
          <t>Commune</t>
        </is>
      </c>
      <c r="G4" s="8" t="inlineStr">
        <is>
          <t>SIRET (14 chiffres)</t>
        </is>
      </c>
      <c r="H4" s="8" t="inlineStr">
        <is>
          <t>Code APE</t>
        </is>
      </c>
      <c r="I4" s="8" t="inlineStr">
        <is>
          <t>Libellé APE</t>
        </is>
      </c>
      <c r="J4" s="8" t="inlineStr">
        <is>
          <t>Effectif (tranche INSEE)</t>
        </is>
      </c>
      <c r="K4" s="8" t="inlineStr">
        <is>
          <t>Dirigeant (Nom Prénom)</t>
        </is>
      </c>
      <c r="L4" s="8" t="inlineStr">
        <is>
          <t>Fonction</t>
        </is>
      </c>
      <c r="M4" s="8" t="inlineStr">
        <is>
          <t>Téléphone</t>
        </is>
      </c>
      <c r="N4" s="8" t="inlineStr">
        <is>
          <t>Email contact</t>
        </is>
      </c>
      <c r="O4" s="8" t="inlineStr">
        <is>
          <t>Site web</t>
        </is>
      </c>
      <c r="P4" s="8" t="inlineStr">
        <is>
          <t>Poste apprenti visé</t>
        </is>
      </c>
      <c r="Q4" s="8" t="inlineStr">
        <is>
          <t>Priorité</t>
        </is>
      </c>
      <c r="R4" s="8" t="inlineStr">
        <is>
          <t>Fiabilité donnée</t>
        </is>
      </c>
      <c r="S4" s="8" t="inlineStr">
        <is>
          <t>Vérifier SIRET / APE / Dirigeant</t>
        </is>
      </c>
      <c r="T4" s="8" t="inlineStr">
        <is>
          <t>Statut prospection</t>
        </is>
      </c>
      <c r="U4" s="8" t="inlineStr">
        <is>
          <t>Date dernier contact</t>
        </is>
      </c>
      <c r="V4" s="8" t="inlineStr">
        <is>
          <t>Notes</t>
        </is>
      </c>
    </row>
    <row r="5" ht="46" customHeight="1">
      <c r="A5" s="9" t="n">
        <v>1</v>
      </c>
      <c r="B5" s="10" t="inlineStr">
        <is>
          <t>LYCÉE LISLET GEOFFROY</t>
        </is>
      </c>
      <c r="C5" s="9" t="inlineStr">
        <is>
          <t>Lycée (EPLE)</t>
        </is>
      </c>
      <c r="D5" s="11" t="inlineStr">
        <is>
          <t>A VERIFIER</t>
        </is>
      </c>
      <c r="E5" s="9" t="inlineStr">
        <is>
          <t>97490</t>
        </is>
      </c>
      <c r="F5" s="9" t="inlineStr">
        <is>
          <t>Sainte-Clotilde (Saint-Denis)</t>
        </is>
      </c>
      <c r="G5" s="12" t="inlineStr">
        <is>
          <t>A VERIFIER</t>
        </is>
      </c>
      <c r="H5" s="9" t="inlineStr">
        <is>
          <t>A VERIFIER</t>
        </is>
      </c>
      <c r="I5" s="11" t="inlineStr">
        <is>
          <t>A VERIFIER</t>
        </is>
      </c>
      <c r="J5" s="9" t="inlineStr">
        <is>
          <t>A COMPLETER</t>
        </is>
      </c>
      <c r="K5" s="9" t="inlineStr">
        <is>
          <t>A COMPLETER</t>
        </is>
      </c>
      <c r="L5" s="9" t="inlineStr">
        <is>
          <t>Dirigeant / DG</t>
        </is>
      </c>
      <c r="M5" s="12" t="inlineStr">
        <is>
          <t>A COMPLETER</t>
        </is>
      </c>
      <c r="N5" s="9" t="inlineStr">
        <is>
          <t>A COMPLETER</t>
        </is>
      </c>
      <c r="O5" s="9" t="inlineStr">
        <is>
          <t>A COMPLETER</t>
        </is>
      </c>
      <c r="P5" s="11" t="inlineStr">
        <is>
          <t>Agent d'économat / Réception-stocks</t>
        </is>
      </c>
      <c r="Q5" s="9" t="inlineStr">
        <is>
          <t>P1</t>
        </is>
      </c>
      <c r="R5" s="9" t="inlineStr">
        <is>
          <t>Source annuaire</t>
        </is>
      </c>
      <c r="S5" s="13" t="inlineStr">
        <is>
          <t>Ouvrir la fiche entreprise</t>
        </is>
      </c>
      <c r="T5" s="9" t="inlineStr">
        <is>
          <t>A contacter</t>
        </is>
      </c>
      <c r="U5" s="14" t="inlineStr"/>
      <c r="V5" s="11" t="inlineStr">
        <is>
          <t>Magasin d'intendance et restauration scolaire. Interlocuteur : l'ADJOINT GESTIONNAIRE (intendant). C'est lui qui gère le magasin et la restauration ; le chef d'établissement signe.</t>
        </is>
      </c>
    </row>
    <row r="6" ht="46" customHeight="1">
      <c r="A6" s="15" t="n">
        <v>2</v>
      </c>
      <c r="B6" s="16" t="inlineStr">
        <is>
          <t>LYCÉE SARDA GARRIGA</t>
        </is>
      </c>
      <c r="C6" s="15" t="inlineStr">
        <is>
          <t>Lycée (EPLE)</t>
        </is>
      </c>
      <c r="D6" s="17" t="inlineStr">
        <is>
          <t>A VERIFIER</t>
        </is>
      </c>
      <c r="E6" s="15" t="inlineStr">
        <is>
          <t>97440</t>
        </is>
      </c>
      <c r="F6" s="15" t="inlineStr">
        <is>
          <t>Saint-André</t>
        </is>
      </c>
      <c r="G6" s="18" t="inlineStr">
        <is>
          <t>A VERIFIER</t>
        </is>
      </c>
      <c r="H6" s="15" t="inlineStr">
        <is>
          <t>A VERIFIER</t>
        </is>
      </c>
      <c r="I6" s="17" t="inlineStr">
        <is>
          <t>A VERIFIER</t>
        </is>
      </c>
      <c r="J6" s="15" t="inlineStr">
        <is>
          <t>A COMPLETER</t>
        </is>
      </c>
      <c r="K6" s="15" t="inlineStr">
        <is>
          <t>A COMPLETER</t>
        </is>
      </c>
      <c r="L6" s="15" t="inlineStr">
        <is>
          <t>Dirigeant / DG</t>
        </is>
      </c>
      <c r="M6" s="18" t="inlineStr">
        <is>
          <t>A COMPLETER</t>
        </is>
      </c>
      <c r="N6" s="15" t="inlineStr">
        <is>
          <t>A COMPLETER</t>
        </is>
      </c>
      <c r="O6" s="15" t="inlineStr">
        <is>
          <t>A COMPLETER</t>
        </is>
      </c>
      <c r="P6" s="17" t="inlineStr">
        <is>
          <t>Agent d'économat / Réception-stocks</t>
        </is>
      </c>
      <c r="Q6" s="15" t="inlineStr">
        <is>
          <t>P1</t>
        </is>
      </c>
      <c r="R6" s="15" t="inlineStr">
        <is>
          <t>Source annuaire</t>
        </is>
      </c>
      <c r="S6" s="19" t="inlineStr">
        <is>
          <t>Ouvrir la fiche entreprise</t>
        </is>
      </c>
      <c r="T6" s="15" t="inlineStr">
        <is>
          <t>A contacter</t>
        </is>
      </c>
      <c r="U6" s="20" t="inlineStr"/>
      <c r="V6" s="17" t="inlineStr">
        <is>
          <t>Gros établissement de l'Est : réception de denrées quotidienne, magasin, gestion des manuels et des équipements. Interlocuteur : l'ADJOINT GESTIONNAIRE (intendant). C'est lui qui gère le magasin et la restauration ; le chef d'établissement signe.</t>
        </is>
      </c>
    </row>
    <row r="7" ht="46" customHeight="1">
      <c r="A7" s="9" t="n">
        <v>3</v>
      </c>
      <c r="B7" s="10" t="inlineStr">
        <is>
          <t>LYCÉE MAHATMA GANDHI</t>
        </is>
      </c>
      <c r="C7" s="9" t="inlineStr">
        <is>
          <t>Lycée (EPLE)</t>
        </is>
      </c>
      <c r="D7" s="11" t="inlineStr">
        <is>
          <t>A VERIFIER</t>
        </is>
      </c>
      <c r="E7" s="9" t="inlineStr">
        <is>
          <t>97440</t>
        </is>
      </c>
      <c r="F7" s="9" t="inlineStr">
        <is>
          <t>Saint-André</t>
        </is>
      </c>
      <c r="G7" s="12" t="inlineStr">
        <is>
          <t>A VERIFIER</t>
        </is>
      </c>
      <c r="H7" s="9" t="inlineStr">
        <is>
          <t>A VERIFIER</t>
        </is>
      </c>
      <c r="I7" s="11" t="inlineStr">
        <is>
          <t>A VERIFIER</t>
        </is>
      </c>
      <c r="J7" s="9" t="inlineStr">
        <is>
          <t>A COMPLETER</t>
        </is>
      </c>
      <c r="K7" s="9" t="inlineStr">
        <is>
          <t>A COMPLETER</t>
        </is>
      </c>
      <c r="L7" s="9" t="inlineStr">
        <is>
          <t>Dirigeant / DG</t>
        </is>
      </c>
      <c r="M7" s="12" t="inlineStr">
        <is>
          <t>A COMPLETER</t>
        </is>
      </c>
      <c r="N7" s="9" t="inlineStr">
        <is>
          <t>A COMPLETER</t>
        </is>
      </c>
      <c r="O7" s="9" t="inlineStr">
        <is>
          <t>A COMPLETER</t>
        </is>
      </c>
      <c r="P7" s="11" t="inlineStr">
        <is>
          <t>Agent d'économat / Réception-stocks</t>
        </is>
      </c>
      <c r="Q7" s="9" t="inlineStr">
        <is>
          <t>P2</t>
        </is>
      </c>
      <c r="R7" s="9" t="inlineStr">
        <is>
          <t>Source annuaire</t>
        </is>
      </c>
      <c r="S7" s="13" t="inlineStr">
        <is>
          <t>Ouvrir la fiche entreprise</t>
        </is>
      </c>
      <c r="T7" s="9" t="inlineStr">
        <is>
          <t>A contacter</t>
        </is>
      </c>
      <c r="U7" s="14" t="inlineStr"/>
      <c r="V7" s="11" t="inlineStr">
        <is>
          <t>Restauration scolaire et magasin. Interlocuteur : l'ADJOINT GESTIONNAIRE (intendant). C'est lui qui gère le magasin et la restauration ; le chef d'établissement signe.</t>
        </is>
      </c>
    </row>
    <row r="8" ht="46" customHeight="1">
      <c r="A8" s="15" t="n">
        <v>4</v>
      </c>
      <c r="B8" s="16" t="inlineStr">
        <is>
          <t>LYCÉE AMIRAL PIERRE BOUVET</t>
        </is>
      </c>
      <c r="C8" s="15" t="inlineStr">
        <is>
          <t>Lycée (EPLE)</t>
        </is>
      </c>
      <c r="D8" s="17" t="inlineStr">
        <is>
          <t>A VERIFIER</t>
        </is>
      </c>
      <c r="E8" s="15" t="inlineStr">
        <is>
          <t>97470</t>
        </is>
      </c>
      <c r="F8" s="15" t="inlineStr">
        <is>
          <t>Saint-Benoît</t>
        </is>
      </c>
      <c r="G8" s="18" t="inlineStr">
        <is>
          <t>A VERIFIER</t>
        </is>
      </c>
      <c r="H8" s="15" t="inlineStr">
        <is>
          <t>A VERIFIER</t>
        </is>
      </c>
      <c r="I8" s="17" t="inlineStr">
        <is>
          <t>A VERIFIER</t>
        </is>
      </c>
      <c r="J8" s="15" t="inlineStr">
        <is>
          <t>A COMPLETER</t>
        </is>
      </c>
      <c r="K8" s="15" t="inlineStr">
        <is>
          <t>A COMPLETER</t>
        </is>
      </c>
      <c r="L8" s="15" t="inlineStr">
        <is>
          <t>Dirigeant / DG</t>
        </is>
      </c>
      <c r="M8" s="18" t="inlineStr">
        <is>
          <t>A COMPLETER</t>
        </is>
      </c>
      <c r="N8" s="15" t="inlineStr">
        <is>
          <t>A COMPLETER</t>
        </is>
      </c>
      <c r="O8" s="15" t="inlineStr">
        <is>
          <t>A COMPLETER</t>
        </is>
      </c>
      <c r="P8" s="17" t="inlineStr">
        <is>
          <t>Agent d'économat / Réception-stocks</t>
        </is>
      </c>
      <c r="Q8" s="15" t="inlineStr">
        <is>
          <t>P1</t>
        </is>
      </c>
      <c r="R8" s="15" t="inlineStr">
        <is>
          <t>Source annuaire</t>
        </is>
      </c>
      <c r="S8" s="19" t="inlineStr">
        <is>
          <t>Ouvrir la fiche entreprise</t>
        </is>
      </c>
      <c r="T8" s="15" t="inlineStr">
        <is>
          <t>A contacter</t>
        </is>
      </c>
      <c r="U8" s="20" t="inlineStr"/>
      <c r="V8" s="17" t="inlineStr">
        <is>
          <t>Établissement de référence de Saint-Benoît. Interlocuteur : l'ADJOINT GESTIONNAIRE (intendant). C'est lui qui gère le magasin et la restauration ; le chef d'établissement signe.</t>
        </is>
      </c>
    </row>
    <row r="9" ht="46" customHeight="1">
      <c r="A9" s="9" t="n">
        <v>5</v>
      </c>
      <c r="B9" s="10" t="inlineStr">
        <is>
          <t>LYCÉE DE BRAS-FUSIL</t>
        </is>
      </c>
      <c r="C9" s="9" t="inlineStr">
        <is>
          <t>Lycée professionnel (EPLE)</t>
        </is>
      </c>
      <c r="D9" s="11" t="inlineStr">
        <is>
          <t>A VERIFIER</t>
        </is>
      </c>
      <c r="E9" s="9" t="inlineStr">
        <is>
          <t>97470</t>
        </is>
      </c>
      <c r="F9" s="9" t="inlineStr">
        <is>
          <t>Saint-Benoît</t>
        </is>
      </c>
      <c r="G9" s="12" t="inlineStr">
        <is>
          <t>A VERIFIER</t>
        </is>
      </c>
      <c r="H9" s="9" t="inlineStr">
        <is>
          <t>A VERIFIER</t>
        </is>
      </c>
      <c r="I9" s="11" t="inlineStr">
        <is>
          <t>A VERIFIER</t>
        </is>
      </c>
      <c r="J9" s="9" t="inlineStr">
        <is>
          <t>A COMPLETER</t>
        </is>
      </c>
      <c r="K9" s="9" t="inlineStr">
        <is>
          <t>A COMPLETER</t>
        </is>
      </c>
      <c r="L9" s="9" t="inlineStr">
        <is>
          <t>Dirigeant / DG</t>
        </is>
      </c>
      <c r="M9" s="12" t="inlineStr">
        <is>
          <t>A COMPLETER</t>
        </is>
      </c>
      <c r="N9" s="9" t="inlineStr">
        <is>
          <t>A COMPLETER</t>
        </is>
      </c>
      <c r="O9" s="9" t="inlineStr">
        <is>
          <t>A COMPLETER</t>
        </is>
      </c>
      <c r="P9" s="11" t="inlineStr">
        <is>
          <t>Agent d'économat / Réception-stocks</t>
        </is>
      </c>
      <c r="Q9" s="9" t="inlineStr">
        <is>
          <t>P1</t>
        </is>
      </c>
      <c r="R9" s="9" t="inlineStr">
        <is>
          <t>Source annuaire</t>
        </is>
      </c>
      <c r="S9" s="13" t="inlineStr">
        <is>
          <t>Ouvrir la fiche entreprise</t>
        </is>
      </c>
      <c r="T9" s="9" t="inlineStr">
        <is>
          <t>A contacter</t>
        </is>
      </c>
      <c r="U9" s="14" t="inlineStr"/>
      <c r="V9" s="11" t="inlineStr">
        <is>
          <t>Lycée professionnel : la culture de l'alternance y est déjà installée, l'accueil d'un apprenti y est plus naturel. Interlocuteur : l'ADJOINT GESTIONNAIRE (intendant). C'est lui qui gère le magasin et la restauration ; le chef d'établissement signe.</t>
        </is>
      </c>
    </row>
    <row r="10" ht="46" customHeight="1">
      <c r="A10" s="15" t="n">
        <v>6</v>
      </c>
      <c r="B10" s="16" t="inlineStr">
        <is>
          <t>AUTRES LYCÉES ET COLLÈGES DU BASSIN</t>
        </is>
      </c>
      <c r="C10" s="15" t="inlineStr">
        <is>
          <t>Établissements scolaires – à lister</t>
        </is>
      </c>
      <c r="D10" s="17" t="inlineStr">
        <is>
          <t>Annuaire de l'éducation (data.education.gouv.fr) filtré sur les communes du bassin</t>
        </is>
      </c>
      <c r="E10" s="15" t="inlineStr">
        <is>
          <t>97400</t>
        </is>
      </c>
      <c r="F10" s="15" t="inlineStr">
        <is>
          <t>Bassin Nord-Est</t>
        </is>
      </c>
      <c r="G10" s="18" t="inlineStr">
        <is>
          <t>A VERIFIER</t>
        </is>
      </c>
      <c r="H10" s="15" t="inlineStr">
        <is>
          <t>A VERIFIER</t>
        </is>
      </c>
      <c r="I10" s="17" t="inlineStr">
        <is>
          <t>A VERIFIER</t>
        </is>
      </c>
      <c r="J10" s="15" t="inlineStr">
        <is>
          <t>A COMPLETER</t>
        </is>
      </c>
      <c r="K10" s="15" t="inlineStr">
        <is>
          <t>A COMPLETER</t>
        </is>
      </c>
      <c r="L10" s="15" t="inlineStr">
        <is>
          <t>Dirigeant / DG</t>
        </is>
      </c>
      <c r="M10" s="18" t="inlineStr">
        <is>
          <t>A COMPLETER</t>
        </is>
      </c>
      <c r="N10" s="15" t="inlineStr">
        <is>
          <t>A COMPLETER</t>
        </is>
      </c>
      <c r="O10" s="15" t="inlineStr">
        <is>
          <t>A COMPLETER</t>
        </is>
      </c>
      <c r="P10" s="17" t="inlineStr">
        <is>
          <t>Agent d'économat / Réception-stocks</t>
        </is>
      </c>
      <c r="Q10" s="15" t="inlineStr">
        <is>
          <t>P2</t>
        </is>
      </c>
      <c r="R10" s="15" t="inlineStr">
        <is>
          <t>A vérifier</t>
        </is>
      </c>
      <c r="S10" s="19" t="inlineStr">
        <is>
          <t>Ouvrir la fiche entreprise</t>
        </is>
      </c>
      <c r="T10" s="15" t="inlineStr">
        <is>
          <t>A contacter</t>
        </is>
      </c>
      <c r="U10" s="20" t="inlineStr"/>
      <c r="V10" s="17" t="inlineStr">
        <is>
          <t>Chaque collège et lycée a un adjoint gestionnaire, une demi-pension et un magasin. C'est un gisement de postes très peu prospecté par les CFA. Méthode : annuaire de l'éducation, filtre commune, puis appel direct à l'intendance.</t>
        </is>
      </c>
    </row>
  </sheetData>
  <autoFilter ref="A4:V10"/>
  <mergeCells count="2">
    <mergeCell ref="A2:V2"/>
    <mergeCell ref="A1:V1"/>
  </mergeCells>
  <dataValidations count="3">
    <dataValidation sqref="T5:T404" showDropDown="0" showInputMessage="0" showErrorMessage="0" allowBlank="1" type="list">
      <formula1>"A contacter,Message laissé,RDV pris,Visite faite,Offre déposée,Candidat proposé,Contrat signé,Sans suite"</formula1>
    </dataValidation>
    <dataValidation sqref="Q5:Q404" showDropDown="0" showInputMessage="0" showErrorMessage="0" allowBlank="1" type="list">
      <formula1>"P1,P2,P3"</formula1>
    </dataValidation>
    <dataValidation sqref="R5:R404" showDropDown="0" showInputMessage="0" showErrorMessage="0" allowBlank="1" type="list">
      <formula1>"Vérifié INSEE,Vérifié,Source annuaire,A vérifier"</formula1>
    </dataValidation>
  </dataValidations>
  <hyperlinks>
    <hyperlink xmlns:r="http://schemas.openxmlformats.org/officeDocument/2006/relationships" ref="S5" r:id="rId1"/>
    <hyperlink xmlns:r="http://schemas.openxmlformats.org/officeDocument/2006/relationships" ref="S6" r:id="rId2"/>
    <hyperlink xmlns:r="http://schemas.openxmlformats.org/officeDocument/2006/relationships" ref="S7" r:id="rId3"/>
    <hyperlink xmlns:r="http://schemas.openxmlformats.org/officeDocument/2006/relationships" ref="S8" r:id="rId4"/>
    <hyperlink xmlns:r="http://schemas.openxmlformats.org/officeDocument/2006/relationships" ref="S9" r:id="rId5"/>
    <hyperlink xmlns:r="http://schemas.openxmlformats.org/officeDocument/2006/relationships" ref="S10"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7"/>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6" customWidth="1" min="3" max="3"/>
    <col width="38" customWidth="1" min="4" max="4"/>
    <col width="7" customWidth="1" min="5" max="5"/>
    <col width="18" customWidth="1" min="6" max="6"/>
    <col width="20" customWidth="1" min="7" max="7"/>
    <col width="10" customWidth="1" min="8" max="8"/>
    <col width="32" customWidth="1" min="9" max="9"/>
    <col width="22" customWidth="1" min="10" max="10"/>
    <col width="24" customWidth="1" min="11" max="11"/>
    <col width="16" customWidth="1" min="12" max="12"/>
    <col width="16" customWidth="1" min="13" max="13"/>
    <col width="30" customWidth="1" min="14" max="14"/>
    <col width="26" customWidth="1" min="15" max="15"/>
    <col width="30" customWidth="1" min="16" max="16"/>
    <col width="9" customWidth="1" min="17" max="17"/>
    <col width="16" customWidth="1" min="18" max="18"/>
    <col width="34" customWidth="1" min="19" max="19"/>
    <col width="20" customWidth="1" min="20" max="20"/>
    <col width="18" customWidth="1" min="21" max="21"/>
    <col width="40" customWidth="1" min="22" max="22"/>
  </cols>
  <sheetData>
    <row r="1" ht="24" customHeight="1">
      <c r="A1" s="7" t="inlineStr">
        <is>
          <t>PROSPECTION PUBLIC &amp; SANTÉ – HÔPITAL PUBLIC</t>
        </is>
      </c>
    </row>
    <row r="2" ht="16" customHeight="1">
      <c r="A2" s="2" t="inlineStr">
        <is>
          <t>CHU site Félix Guyon, GHER – magasin général, pharmacie à usage intérieur, plateforme</t>
        </is>
      </c>
    </row>
    <row r="4" ht="34" customHeight="1">
      <c r="A4" s="8" t="inlineStr">
        <is>
          <t>N°</t>
        </is>
      </c>
      <c r="B4" s="8" t="inlineStr">
        <is>
          <t>Raison sociale / Enseigne</t>
        </is>
      </c>
      <c r="C4" s="8" t="inlineStr">
        <is>
          <t>Type de structure</t>
        </is>
      </c>
      <c r="D4" s="8" t="inlineStr">
        <is>
          <t>Adresse</t>
        </is>
      </c>
      <c r="E4" s="8" t="inlineStr">
        <is>
          <t>CP</t>
        </is>
      </c>
      <c r="F4" s="8" t="inlineStr">
        <is>
          <t>Commune</t>
        </is>
      </c>
      <c r="G4" s="8" t="inlineStr">
        <is>
          <t>SIRET (14 chiffres)</t>
        </is>
      </c>
      <c r="H4" s="8" t="inlineStr">
        <is>
          <t>Code APE</t>
        </is>
      </c>
      <c r="I4" s="8" t="inlineStr">
        <is>
          <t>Libellé APE</t>
        </is>
      </c>
      <c r="J4" s="8" t="inlineStr">
        <is>
          <t>Effectif (tranche INSEE)</t>
        </is>
      </c>
      <c r="K4" s="8" t="inlineStr">
        <is>
          <t>Dirigeant (Nom Prénom)</t>
        </is>
      </c>
      <c r="L4" s="8" t="inlineStr">
        <is>
          <t>Fonction</t>
        </is>
      </c>
      <c r="M4" s="8" t="inlineStr">
        <is>
          <t>Téléphone</t>
        </is>
      </c>
      <c r="N4" s="8" t="inlineStr">
        <is>
          <t>Email contact</t>
        </is>
      </c>
      <c r="O4" s="8" t="inlineStr">
        <is>
          <t>Site web</t>
        </is>
      </c>
      <c r="P4" s="8" t="inlineStr">
        <is>
          <t>Poste apprenti visé</t>
        </is>
      </c>
      <c r="Q4" s="8" t="inlineStr">
        <is>
          <t>Priorité</t>
        </is>
      </c>
      <c r="R4" s="8" t="inlineStr">
        <is>
          <t>Fiabilité donnée</t>
        </is>
      </c>
      <c r="S4" s="8" t="inlineStr">
        <is>
          <t>Vérifier SIRET / APE / Dirigeant</t>
        </is>
      </c>
      <c r="T4" s="8" t="inlineStr">
        <is>
          <t>Statut prospection</t>
        </is>
      </c>
      <c r="U4" s="8" t="inlineStr">
        <is>
          <t>Date dernier contact</t>
        </is>
      </c>
      <c r="V4" s="8" t="inlineStr">
        <is>
          <t>Notes</t>
        </is>
      </c>
    </row>
    <row r="5" ht="46" customHeight="1">
      <c r="A5" s="9" t="n">
        <v>1</v>
      </c>
      <c r="B5" s="10" t="inlineStr">
        <is>
          <t>CHU DE LA RÉUNION – SITE FÉLIX GUYON</t>
        </is>
      </c>
      <c r="C5" s="9" t="inlineStr">
        <is>
          <t>CHU (fonction publique hospitalière)</t>
        </is>
      </c>
      <c r="D5" s="11" t="inlineStr">
        <is>
          <t>Allée des Topazes – Bellepierre</t>
        </is>
      </c>
      <c r="E5" s="9" t="inlineStr">
        <is>
          <t>97400</t>
        </is>
      </c>
      <c r="F5" s="9" t="inlineStr">
        <is>
          <t>Saint-Denis</t>
        </is>
      </c>
      <c r="G5" s="12" t="inlineStr">
        <is>
          <t>A VERIFIER</t>
        </is>
      </c>
      <c r="H5" s="9" t="inlineStr">
        <is>
          <t>A VERIFIER</t>
        </is>
      </c>
      <c r="I5" s="11" t="inlineStr">
        <is>
          <t>A VERIFIER</t>
        </is>
      </c>
      <c r="J5" s="9" t="inlineStr">
        <is>
          <t>A COMPLETER</t>
        </is>
      </c>
      <c r="K5" s="9" t="inlineStr">
        <is>
          <t>A COMPLETER</t>
        </is>
      </c>
      <c r="L5" s="9" t="inlineStr">
        <is>
          <t>Dirigeant / DG</t>
        </is>
      </c>
      <c r="M5" s="12" t="inlineStr">
        <is>
          <t>A COMPLETER</t>
        </is>
      </c>
      <c r="N5" s="9" t="inlineStr">
        <is>
          <t>A COMPLETER</t>
        </is>
      </c>
      <c r="O5" s="13" t="inlineStr">
        <is>
          <t>https://www.chu-reunion.fr/</t>
        </is>
      </c>
      <c r="P5" s="11" t="inlineStr">
        <is>
          <t>Logistique pharmaceutique / PUI</t>
        </is>
      </c>
      <c r="Q5" s="9" t="inlineStr">
        <is>
          <t>P1</t>
        </is>
      </c>
      <c r="R5" s="9" t="inlineStr">
        <is>
          <t>Source annuaire</t>
        </is>
      </c>
      <c r="S5" s="13" t="inlineStr">
        <is>
          <t>Ouvrir la fiche entreprise</t>
        </is>
      </c>
      <c r="T5" s="9" t="inlineStr">
        <is>
          <t>A contacter</t>
        </is>
      </c>
      <c r="U5" s="14" t="inlineStr"/>
      <c r="V5" s="11" t="inlineStr">
        <is>
          <t>LE plus gros employeur logistique du Nord : magasin général, plateforme de distribution interne, pharmacie à usage intérieur, blanchisserie, restauration, brancardage. Le CHU dispose d'une Direction des Achats et de la Logistique (Nord). Interlocuteurs : direction des achats et de la logistique + DRH. Le cadre du magasin général est le prescripteur.</t>
        </is>
      </c>
    </row>
    <row r="6" ht="46" customHeight="1">
      <c r="A6" s="15" t="n">
        <v>2</v>
      </c>
      <c r="B6" s="16" t="inlineStr">
        <is>
          <t>GROUPE HOSPITALIER EST RÉUNION (GHER)</t>
        </is>
      </c>
      <c r="C6" s="15" t="inlineStr">
        <is>
          <t>Hôpital public (FPH)</t>
        </is>
      </c>
      <c r="D6" s="17" t="inlineStr">
        <is>
          <t>30 RN3 – ZAC Madeleine, Bras-Fusil</t>
        </is>
      </c>
      <c r="E6" s="15" t="inlineStr">
        <is>
          <t>97470</t>
        </is>
      </c>
      <c r="F6" s="15" t="inlineStr">
        <is>
          <t>Saint-Benoît</t>
        </is>
      </c>
      <c r="G6" s="18" t="inlineStr">
        <is>
          <t>A VERIFIER</t>
        </is>
      </c>
      <c r="H6" s="15" t="inlineStr">
        <is>
          <t>A VERIFIER</t>
        </is>
      </c>
      <c r="I6" s="17" t="inlineStr">
        <is>
          <t>A VERIFIER</t>
        </is>
      </c>
      <c r="J6" s="15" t="inlineStr">
        <is>
          <t>A COMPLETER</t>
        </is>
      </c>
      <c r="K6" s="15" t="inlineStr">
        <is>
          <t>A COMPLETER</t>
        </is>
      </c>
      <c r="L6" s="15" t="inlineStr">
        <is>
          <t>Dirigeant / DG</t>
        </is>
      </c>
      <c r="M6" s="18" t="inlineStr">
        <is>
          <t>A COMPLETER</t>
        </is>
      </c>
      <c r="N6" s="15" t="inlineStr">
        <is>
          <t>A COMPLETER</t>
        </is>
      </c>
      <c r="O6" s="15" t="inlineStr">
        <is>
          <t>A COMPLETER</t>
        </is>
      </c>
      <c r="P6" s="17" t="inlineStr">
        <is>
          <t>Logistique pharmaceutique / PUI</t>
        </is>
      </c>
      <c r="Q6" s="15" t="inlineStr">
        <is>
          <t>P1</t>
        </is>
      </c>
      <c r="R6" s="15" t="inlineStr">
        <is>
          <t>Source annuaire</t>
        </is>
      </c>
      <c r="S6" s="19" t="inlineStr">
        <is>
          <t>Ouvrir la fiche entreprise</t>
        </is>
      </c>
      <c r="T6" s="15" t="inlineStr">
        <is>
          <t>A contacter</t>
        </is>
      </c>
      <c r="U6" s="20" t="inlineStr"/>
      <c r="V6" s="17" t="inlineStr">
        <is>
          <t>Hôpital de référence de l'Est : magasin général, pharmacie, restauration. ATTENTION : cette structure figure aussi dans le fichier logistique privée — ne passez pas deux appels séparés. Interlocuteurs : direction des achats et de la logistique + DRH. Le cadre du magasin général est le prescripteur.</t>
        </is>
      </c>
    </row>
    <row r="7" ht="46" customHeight="1">
      <c r="A7" s="9" t="n">
        <v>3</v>
      </c>
      <c r="B7" s="10" t="inlineStr">
        <is>
          <t>EPSMR – ÉTABLISSEMENT PUBLIC DE SANTÉ MENTALE</t>
        </is>
      </c>
      <c r="C7" s="9" t="inlineStr">
        <is>
          <t>Hôpital public (FPH) – hors bassin</t>
        </is>
      </c>
      <c r="D7" s="11" t="inlineStr">
        <is>
          <t>A VERIFIER</t>
        </is>
      </c>
      <c r="E7" s="9" t="inlineStr">
        <is>
          <t>97460</t>
        </is>
      </c>
      <c r="F7" s="9" t="inlineStr">
        <is>
          <t>Saint-Paul</t>
        </is>
      </c>
      <c r="G7" s="12" t="inlineStr">
        <is>
          <t>A VERIFIER</t>
        </is>
      </c>
      <c r="H7" s="9" t="inlineStr">
        <is>
          <t>A VERIFIER</t>
        </is>
      </c>
      <c r="I7" s="11" t="inlineStr">
        <is>
          <t>A VERIFIER</t>
        </is>
      </c>
      <c r="J7" s="9" t="inlineStr">
        <is>
          <t>A COMPLETER</t>
        </is>
      </c>
      <c r="K7" s="9" t="inlineStr">
        <is>
          <t>A COMPLETER</t>
        </is>
      </c>
      <c r="L7" s="9" t="inlineStr">
        <is>
          <t>Dirigeant / DG</t>
        </is>
      </c>
      <c r="M7" s="12" t="inlineStr">
        <is>
          <t>A COMPLETER</t>
        </is>
      </c>
      <c r="N7" s="9" t="inlineStr">
        <is>
          <t>A COMPLETER</t>
        </is>
      </c>
      <c r="O7" s="9" t="inlineStr">
        <is>
          <t>A COMPLETER</t>
        </is>
      </c>
      <c r="P7" s="11" t="inlineStr">
        <is>
          <t>Magasinier / Gestion des stocks</t>
        </is>
      </c>
      <c r="Q7" s="9" t="inlineStr">
        <is>
          <t>P3</t>
        </is>
      </c>
      <c r="R7" s="9" t="inlineStr">
        <is>
          <t>A vérifier</t>
        </is>
      </c>
      <c r="S7" s="13" t="inlineStr">
        <is>
          <t>Ouvrir la fiche entreprise</t>
        </is>
      </c>
      <c r="T7" s="9" t="inlineStr">
        <is>
          <t>A contacter</t>
        </is>
      </c>
      <c r="U7" s="14" t="inlineStr"/>
      <c r="V7" s="11" t="inlineStr">
        <is>
          <t>HORS BASSIN Nord-Est : à ne proposer qu'à un candidat mobile et véhiculé. Confirmer le site avant tout contact.</t>
        </is>
      </c>
    </row>
  </sheetData>
  <autoFilter ref="A4:V7"/>
  <mergeCells count="2">
    <mergeCell ref="A2:V2"/>
    <mergeCell ref="A1:V1"/>
  </mergeCells>
  <dataValidations count="3">
    <dataValidation sqref="T5:T404" showDropDown="0" showInputMessage="0" showErrorMessage="0" allowBlank="1" type="list">
      <formula1>"A contacter,Message laissé,RDV pris,Visite faite,Offre déposée,Candidat proposé,Contrat signé,Sans suite"</formula1>
    </dataValidation>
    <dataValidation sqref="Q5:Q404" showDropDown="0" showInputMessage="0" showErrorMessage="0" allowBlank="1" type="list">
      <formula1>"P1,P2,P3"</formula1>
    </dataValidation>
    <dataValidation sqref="R5:R404" showDropDown="0" showInputMessage="0" showErrorMessage="0" allowBlank="1" type="list">
      <formula1>"Vérifié INSEE,Vérifié,Source annuaire,A vérifier"</formula1>
    </dataValidation>
  </dataValidations>
  <hyperlinks>
    <hyperlink xmlns:r="http://schemas.openxmlformats.org/officeDocument/2006/relationships" ref="O5" r:id="rId1"/>
    <hyperlink xmlns:r="http://schemas.openxmlformats.org/officeDocument/2006/relationships" ref="S5" r:id="rId2"/>
    <hyperlink xmlns:r="http://schemas.openxmlformats.org/officeDocument/2006/relationships" ref="S6" r:id="rId3"/>
    <hyperlink xmlns:r="http://schemas.openxmlformats.org/officeDocument/2006/relationships" ref="S7"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8"/>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6" customWidth="1" min="3" max="3"/>
    <col width="38" customWidth="1" min="4" max="4"/>
    <col width="7" customWidth="1" min="5" max="5"/>
    <col width="18" customWidth="1" min="6" max="6"/>
    <col width="20" customWidth="1" min="7" max="7"/>
    <col width="10" customWidth="1" min="8" max="8"/>
    <col width="32" customWidth="1" min="9" max="9"/>
    <col width="22" customWidth="1" min="10" max="10"/>
    <col width="24" customWidth="1" min="11" max="11"/>
    <col width="16" customWidth="1" min="12" max="12"/>
    <col width="16" customWidth="1" min="13" max="13"/>
    <col width="30" customWidth="1" min="14" max="14"/>
    <col width="26" customWidth="1" min="15" max="15"/>
    <col width="30" customWidth="1" min="16" max="16"/>
    <col width="9" customWidth="1" min="17" max="17"/>
    <col width="16" customWidth="1" min="18" max="18"/>
    <col width="34" customWidth="1" min="19" max="19"/>
    <col width="20" customWidth="1" min="20" max="20"/>
    <col width="18" customWidth="1" min="21" max="21"/>
    <col width="40" customWidth="1" min="22" max="22"/>
  </cols>
  <sheetData>
    <row r="1" ht="24" customHeight="1">
      <c r="A1" s="7" t="inlineStr">
        <is>
          <t>PROSPECTION PUBLIC &amp; SANTÉ – CLINIQUES &amp; SANTÉ PRIVÉE</t>
        </is>
      </c>
    </row>
    <row r="2" ht="16" customHeight="1">
      <c r="A2" s="2" t="inlineStr">
        <is>
          <t>Groupe Clinifutur et cliniques du Nord-Est – PUI, dispositifs médicaux, logistique hôtelière</t>
        </is>
      </c>
    </row>
    <row r="4" ht="34" customHeight="1">
      <c r="A4" s="8" t="inlineStr">
        <is>
          <t>N°</t>
        </is>
      </c>
      <c r="B4" s="8" t="inlineStr">
        <is>
          <t>Raison sociale / Enseigne</t>
        </is>
      </c>
      <c r="C4" s="8" t="inlineStr">
        <is>
          <t>Type de structure</t>
        </is>
      </c>
      <c r="D4" s="8" t="inlineStr">
        <is>
          <t>Adresse</t>
        </is>
      </c>
      <c r="E4" s="8" t="inlineStr">
        <is>
          <t>CP</t>
        </is>
      </c>
      <c r="F4" s="8" t="inlineStr">
        <is>
          <t>Commune</t>
        </is>
      </c>
      <c r="G4" s="8" t="inlineStr">
        <is>
          <t>SIRET (14 chiffres)</t>
        </is>
      </c>
      <c r="H4" s="8" t="inlineStr">
        <is>
          <t>Code APE</t>
        </is>
      </c>
      <c r="I4" s="8" t="inlineStr">
        <is>
          <t>Libellé APE</t>
        </is>
      </c>
      <c r="J4" s="8" t="inlineStr">
        <is>
          <t>Effectif (tranche INSEE)</t>
        </is>
      </c>
      <c r="K4" s="8" t="inlineStr">
        <is>
          <t>Dirigeant (Nom Prénom)</t>
        </is>
      </c>
      <c r="L4" s="8" t="inlineStr">
        <is>
          <t>Fonction</t>
        </is>
      </c>
      <c r="M4" s="8" t="inlineStr">
        <is>
          <t>Téléphone</t>
        </is>
      </c>
      <c r="N4" s="8" t="inlineStr">
        <is>
          <t>Email contact</t>
        </is>
      </c>
      <c r="O4" s="8" t="inlineStr">
        <is>
          <t>Site web</t>
        </is>
      </c>
      <c r="P4" s="8" t="inlineStr">
        <is>
          <t>Poste apprenti visé</t>
        </is>
      </c>
      <c r="Q4" s="8" t="inlineStr">
        <is>
          <t>Priorité</t>
        </is>
      </c>
      <c r="R4" s="8" t="inlineStr">
        <is>
          <t>Fiabilité donnée</t>
        </is>
      </c>
      <c r="S4" s="8" t="inlineStr">
        <is>
          <t>Vérifier SIRET / APE / Dirigeant</t>
        </is>
      </c>
      <c r="T4" s="8" t="inlineStr">
        <is>
          <t>Statut prospection</t>
        </is>
      </c>
      <c r="U4" s="8" t="inlineStr">
        <is>
          <t>Date dernier contact</t>
        </is>
      </c>
      <c r="V4" s="8" t="inlineStr">
        <is>
          <t>Notes</t>
        </is>
      </c>
    </row>
    <row r="5" ht="46" customHeight="1">
      <c r="A5" s="9" t="n">
        <v>1</v>
      </c>
      <c r="B5" s="10" t="inlineStr">
        <is>
          <t>CLINIQUE SAINTE-CLOTILDE (GROUPE CLINIFUTUR)</t>
        </is>
      </c>
      <c r="C5" s="9" t="inlineStr">
        <is>
          <t>Clinique privée MCO</t>
        </is>
      </c>
      <c r="D5" s="11" t="inlineStr">
        <is>
          <t>127 route de Bois de Nèfles – Sainte-Clotilde</t>
        </is>
      </c>
      <c r="E5" s="9" t="inlineStr">
        <is>
          <t>97490</t>
        </is>
      </c>
      <c r="F5" s="9" t="inlineStr">
        <is>
          <t>Sainte-Clotilde (Saint-Denis)</t>
        </is>
      </c>
      <c r="G5" s="12" t="inlineStr">
        <is>
          <t>A VERIFIER</t>
        </is>
      </c>
      <c r="H5" s="9" t="inlineStr">
        <is>
          <t>A VERIFIER</t>
        </is>
      </c>
      <c r="I5" s="11" t="inlineStr">
        <is>
          <t>A VERIFIER</t>
        </is>
      </c>
      <c r="J5" s="9" t="inlineStr">
        <is>
          <t>A COMPLETER</t>
        </is>
      </c>
      <c r="K5" s="9" t="inlineStr">
        <is>
          <t>A COMPLETER</t>
        </is>
      </c>
      <c r="L5" s="9" t="inlineStr">
        <is>
          <t>Dirigeant / DG</t>
        </is>
      </c>
      <c r="M5" s="12" t="inlineStr">
        <is>
          <t>A COMPLETER</t>
        </is>
      </c>
      <c r="N5" s="9" t="inlineStr">
        <is>
          <t>A COMPLETER</t>
        </is>
      </c>
      <c r="O5" s="13" t="inlineStr">
        <is>
          <t>https://www.clinifutur.net/</t>
        </is>
      </c>
      <c r="P5" s="11" t="inlineStr">
        <is>
          <t>Logistique pharmaceutique / PUI</t>
        </is>
      </c>
      <c r="Q5" s="9" t="inlineStr">
        <is>
          <t>P1</t>
        </is>
      </c>
      <c r="R5" s="9" t="inlineStr">
        <is>
          <t>Source annuaire</t>
        </is>
      </c>
      <c r="S5" s="13" t="inlineStr">
        <is>
          <t>Ouvrir la fiche entreprise</t>
        </is>
      </c>
      <c r="T5" s="9" t="inlineStr">
        <is>
          <t>A contacter</t>
        </is>
      </c>
      <c r="U5" s="14" t="inlineStr"/>
      <c r="V5" s="11" t="inlineStr">
        <is>
          <t>Environ 650 salariés et 100 médecins : la plus grande clinique de l'île et le plus gros plateau chirurgical privé du Nord-Est. Pharmacie à usage intérieur, magasin de dispositifs médicaux, logistique hôtelière et restauration. Interlocuteurs : DRH + pharmacien gérant + responsable des services économiques.</t>
        </is>
      </c>
    </row>
    <row r="6" ht="46" customHeight="1">
      <c r="A6" s="15" t="n">
        <v>2</v>
      </c>
      <c r="B6" s="16" t="inlineStr">
        <is>
          <t>GROUPE DE SANTÉ CLINIFUTUR – direction</t>
        </is>
      </c>
      <c r="C6" s="15" t="inlineStr">
        <is>
          <t>Groupe de santé privé (siège)</t>
        </is>
      </c>
      <c r="D6" s="17" t="inlineStr">
        <is>
          <t>A VERIFIER</t>
        </is>
      </c>
      <c r="E6" s="15" t="inlineStr">
        <is>
          <t>97490</t>
        </is>
      </c>
      <c r="F6" s="15" t="inlineStr">
        <is>
          <t>Sainte-Clotilde (Saint-Denis)</t>
        </is>
      </c>
      <c r="G6" s="18" t="inlineStr">
        <is>
          <t>A VERIFIER</t>
        </is>
      </c>
      <c r="H6" s="15" t="inlineStr">
        <is>
          <t>A VERIFIER</t>
        </is>
      </c>
      <c r="I6" s="17" t="inlineStr">
        <is>
          <t>A VERIFIER</t>
        </is>
      </c>
      <c r="J6" s="15" t="inlineStr">
        <is>
          <t>A COMPLETER</t>
        </is>
      </c>
      <c r="K6" s="15" t="inlineStr">
        <is>
          <t>A COMPLETER</t>
        </is>
      </c>
      <c r="L6" s="15" t="inlineStr">
        <is>
          <t>Dirigeant / DG</t>
        </is>
      </c>
      <c r="M6" s="18" t="inlineStr">
        <is>
          <t>A COMPLETER</t>
        </is>
      </c>
      <c r="N6" s="15" t="inlineStr">
        <is>
          <t>A COMPLETER</t>
        </is>
      </c>
      <c r="O6" s="15" t="inlineStr">
        <is>
          <t>A COMPLETER</t>
        </is>
      </c>
      <c r="P6" s="17" t="inlineStr">
        <is>
          <t>Magasinier / Gestion des stocks</t>
        </is>
      </c>
      <c r="Q6" s="15" t="inlineStr">
        <is>
          <t>P1</t>
        </is>
      </c>
      <c r="R6" s="15" t="inlineStr">
        <is>
          <t>Source annuaire</t>
        </is>
      </c>
      <c r="S6" s="19" t="inlineStr">
        <is>
          <t>Ouvrir la fiche entreprise</t>
        </is>
      </c>
      <c r="T6" s="15" t="inlineStr">
        <is>
          <t>A contacter</t>
        </is>
      </c>
      <c r="U6" s="20" t="inlineStr"/>
      <c r="V6" s="17" t="inlineStr">
        <is>
          <t>Le groupe exploite plusieurs cliniques à La Réunion et à Mayotte (Sainte-Clotilde, La Paix, Les Oliviers, Robert Debré, Saint-Joseph, Saint-Vincent) ainsi que les centres de dialyse SODIA. Un accord au niveau du groupe peut ouvrir plusieurs sites d'un coup : c'est le meilleur rapport effort / résultat de cet onglet.</t>
        </is>
      </c>
    </row>
    <row r="7" ht="46" customHeight="1">
      <c r="A7" s="9" t="n">
        <v>3</v>
      </c>
      <c r="B7" s="10" t="inlineStr">
        <is>
          <t>SODIA RÉUNION (dialyse – groupe Clinifutur)</t>
        </is>
      </c>
      <c r="C7" s="9" t="inlineStr">
        <is>
          <t>Dialyse / Santé privée</t>
        </is>
      </c>
      <c r="D7" s="11" t="inlineStr">
        <is>
          <t>A VERIFIER</t>
        </is>
      </c>
      <c r="E7" s="9" t="inlineStr">
        <is>
          <t>97490</t>
        </is>
      </c>
      <c r="F7" s="9" t="inlineStr">
        <is>
          <t>Sainte-Clotilde (Saint-Denis)</t>
        </is>
      </c>
      <c r="G7" s="12" t="inlineStr">
        <is>
          <t>A VERIFIER</t>
        </is>
      </c>
      <c r="H7" s="9" t="inlineStr">
        <is>
          <t>A VERIFIER</t>
        </is>
      </c>
      <c r="I7" s="11" t="inlineStr">
        <is>
          <t>A VERIFIER</t>
        </is>
      </c>
      <c r="J7" s="9" t="inlineStr">
        <is>
          <t>A COMPLETER</t>
        </is>
      </c>
      <c r="K7" s="9" t="inlineStr">
        <is>
          <t>A COMPLETER</t>
        </is>
      </c>
      <c r="L7" s="9" t="inlineStr">
        <is>
          <t>Dirigeant / DG</t>
        </is>
      </c>
      <c r="M7" s="12" t="inlineStr">
        <is>
          <t>A COMPLETER</t>
        </is>
      </c>
      <c r="N7" s="9" t="inlineStr">
        <is>
          <t>A COMPLETER</t>
        </is>
      </c>
      <c r="O7" s="9" t="inlineStr">
        <is>
          <t>A COMPLETER</t>
        </is>
      </c>
      <c r="P7" s="11" t="inlineStr">
        <is>
          <t>Opérateur logistique / Prépa. commandes</t>
        </is>
      </c>
      <c r="Q7" s="9" t="inlineStr">
        <is>
          <t>P2</t>
        </is>
      </c>
      <c r="R7" s="9" t="inlineStr">
        <is>
          <t>A vérifier</t>
        </is>
      </c>
      <c r="S7" s="13" t="inlineStr">
        <is>
          <t>Ouvrir la fiche entreprise</t>
        </is>
      </c>
      <c r="T7" s="9" t="inlineStr">
        <is>
          <t>A contacter</t>
        </is>
      </c>
      <c r="U7" s="14" t="inlineStr"/>
      <c r="V7" s="11" t="inlineStr">
        <is>
          <t>Centres de dialyse : consommables, poches, filtres, livraisons sur plusieurs sites. Logistique du soin très normée. Confirmer les sites du bassin Nord-Est.</t>
        </is>
      </c>
    </row>
    <row r="8" ht="46" customHeight="1">
      <c r="A8" s="15" t="n">
        <v>4</v>
      </c>
      <c r="B8" s="16" t="inlineStr">
        <is>
          <t>AUTRES CLINIQUES DU GROUPE (La Paix, Les Oliviers, Robert Debré, Saint-Joseph, Saint-Vincent)</t>
        </is>
      </c>
      <c r="C8" s="15" t="inlineStr">
        <is>
          <t>Cliniques privées – à lister</t>
        </is>
      </c>
      <c r="D8" s="17" t="inlineStr">
        <is>
          <t>A VERIFIER</t>
        </is>
      </c>
      <c r="E8" s="15" t="inlineStr">
        <is>
          <t>97400</t>
        </is>
      </c>
      <c r="F8" s="15" t="inlineStr">
        <is>
          <t>À vérifier</t>
        </is>
      </c>
      <c r="G8" s="18" t="inlineStr">
        <is>
          <t>A VERIFIER</t>
        </is>
      </c>
      <c r="H8" s="15" t="inlineStr">
        <is>
          <t>A VERIFIER</t>
        </is>
      </c>
      <c r="I8" s="17" t="inlineStr">
        <is>
          <t>A VERIFIER</t>
        </is>
      </c>
      <c r="J8" s="15" t="inlineStr">
        <is>
          <t>A COMPLETER</t>
        </is>
      </c>
      <c r="K8" s="15" t="inlineStr">
        <is>
          <t>A COMPLETER</t>
        </is>
      </c>
      <c r="L8" s="15" t="inlineStr">
        <is>
          <t>Dirigeant / DG</t>
        </is>
      </c>
      <c r="M8" s="18" t="inlineStr">
        <is>
          <t>A COMPLETER</t>
        </is>
      </c>
      <c r="N8" s="15" t="inlineStr">
        <is>
          <t>A COMPLETER</t>
        </is>
      </c>
      <c r="O8" s="15" t="inlineStr">
        <is>
          <t>A COMPLETER</t>
        </is>
      </c>
      <c r="P8" s="17" t="inlineStr">
        <is>
          <t>Magasinier / Gestion des stocks</t>
        </is>
      </c>
      <c r="Q8" s="15" t="inlineStr">
        <is>
          <t>P3</t>
        </is>
      </c>
      <c r="R8" s="15" t="inlineStr">
        <is>
          <t>A vérifier</t>
        </is>
      </c>
      <c r="S8" s="19" t="inlineStr">
        <is>
          <t>Ouvrir la fiche entreprise</t>
        </is>
      </c>
      <c r="T8" s="15" t="inlineStr">
        <is>
          <t>A contacter</t>
        </is>
      </c>
      <c r="U8" s="20" t="inlineStr"/>
      <c r="V8" s="17" t="inlineStr">
        <is>
          <t>Ces cliniques existent, mais TOUTES ne sont pas dans le bassin Nord-Est. Vérifiez la commune de chacune avant de les intégrer à votre tournée.</t>
        </is>
      </c>
    </row>
  </sheetData>
  <autoFilter ref="A4:V8"/>
  <mergeCells count="2">
    <mergeCell ref="A2:V2"/>
    <mergeCell ref="A1:V1"/>
  </mergeCells>
  <dataValidations count="3">
    <dataValidation sqref="T5:T404" showDropDown="0" showInputMessage="0" showErrorMessage="0" allowBlank="1" type="list">
      <formula1>"A contacter,Message laissé,RDV pris,Visite faite,Offre déposée,Candidat proposé,Contrat signé,Sans suite"</formula1>
    </dataValidation>
    <dataValidation sqref="Q5:Q404" showDropDown="0" showInputMessage="0" showErrorMessage="0" allowBlank="1" type="list">
      <formula1>"P1,P2,P3"</formula1>
    </dataValidation>
    <dataValidation sqref="R5:R404" showDropDown="0" showInputMessage="0" showErrorMessage="0" allowBlank="1" type="list">
      <formula1>"Vérifié INSEE,Vérifié,Source annuaire,A vérifier"</formula1>
    </dataValidation>
  </dataValidations>
  <hyperlinks>
    <hyperlink xmlns:r="http://schemas.openxmlformats.org/officeDocument/2006/relationships" ref="O5" r:id="rId1"/>
    <hyperlink xmlns:r="http://schemas.openxmlformats.org/officeDocument/2006/relationships" ref="S5" r:id="rId2"/>
    <hyperlink xmlns:r="http://schemas.openxmlformats.org/officeDocument/2006/relationships" ref="S6" r:id="rId3"/>
    <hyperlink xmlns:r="http://schemas.openxmlformats.org/officeDocument/2006/relationships" ref="S7" r:id="rId4"/>
    <hyperlink xmlns:r="http://schemas.openxmlformats.org/officeDocument/2006/relationships" ref="S8" r:id="rId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8"/>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6" customWidth="1" min="3" max="3"/>
    <col width="38" customWidth="1" min="4" max="4"/>
    <col width="7" customWidth="1" min="5" max="5"/>
    <col width="18" customWidth="1" min="6" max="6"/>
    <col width="20" customWidth="1" min="7" max="7"/>
    <col width="10" customWidth="1" min="8" max="8"/>
    <col width="32" customWidth="1" min="9" max="9"/>
    <col width="22" customWidth="1" min="10" max="10"/>
    <col width="24" customWidth="1" min="11" max="11"/>
    <col width="16" customWidth="1" min="12" max="12"/>
    <col width="16" customWidth="1" min="13" max="13"/>
    <col width="30" customWidth="1" min="14" max="14"/>
    <col width="26" customWidth="1" min="15" max="15"/>
    <col width="30" customWidth="1" min="16" max="16"/>
    <col width="9" customWidth="1" min="17" max="17"/>
    <col width="16" customWidth="1" min="18" max="18"/>
    <col width="34" customWidth="1" min="19" max="19"/>
    <col width="20" customWidth="1" min="20" max="20"/>
    <col width="18" customWidth="1" min="21" max="21"/>
    <col width="40" customWidth="1" min="22" max="22"/>
  </cols>
  <sheetData>
    <row r="1" ht="24" customHeight="1">
      <c r="A1" s="7" t="inlineStr">
        <is>
          <t>PROSPECTION PUBLIC &amp; SANTÉ – EHPAD &amp; MÉDICO-SOCIAL</t>
        </is>
      </c>
    </row>
    <row r="2" ht="16" customHeight="1">
      <c r="A2" s="2" t="inlineStr">
        <is>
          <t>AURAR, EHPAD, ESAT – petites structures, décision rapide, un apprenti chacune</t>
        </is>
      </c>
    </row>
    <row r="4" ht="34" customHeight="1">
      <c r="A4" s="8" t="inlineStr">
        <is>
          <t>N°</t>
        </is>
      </c>
      <c r="B4" s="8" t="inlineStr">
        <is>
          <t>Raison sociale / Enseigne</t>
        </is>
      </c>
      <c r="C4" s="8" t="inlineStr">
        <is>
          <t>Type de structure</t>
        </is>
      </c>
      <c r="D4" s="8" t="inlineStr">
        <is>
          <t>Adresse</t>
        </is>
      </c>
      <c r="E4" s="8" t="inlineStr">
        <is>
          <t>CP</t>
        </is>
      </c>
      <c r="F4" s="8" t="inlineStr">
        <is>
          <t>Commune</t>
        </is>
      </c>
      <c r="G4" s="8" t="inlineStr">
        <is>
          <t>SIRET (14 chiffres)</t>
        </is>
      </c>
      <c r="H4" s="8" t="inlineStr">
        <is>
          <t>Code APE</t>
        </is>
      </c>
      <c r="I4" s="8" t="inlineStr">
        <is>
          <t>Libellé APE</t>
        </is>
      </c>
      <c r="J4" s="8" t="inlineStr">
        <is>
          <t>Effectif (tranche INSEE)</t>
        </is>
      </c>
      <c r="K4" s="8" t="inlineStr">
        <is>
          <t>Dirigeant (Nom Prénom)</t>
        </is>
      </c>
      <c r="L4" s="8" t="inlineStr">
        <is>
          <t>Fonction</t>
        </is>
      </c>
      <c r="M4" s="8" t="inlineStr">
        <is>
          <t>Téléphone</t>
        </is>
      </c>
      <c r="N4" s="8" t="inlineStr">
        <is>
          <t>Email contact</t>
        </is>
      </c>
      <c r="O4" s="8" t="inlineStr">
        <is>
          <t>Site web</t>
        </is>
      </c>
      <c r="P4" s="8" t="inlineStr">
        <is>
          <t>Poste apprenti visé</t>
        </is>
      </c>
      <c r="Q4" s="8" t="inlineStr">
        <is>
          <t>Priorité</t>
        </is>
      </c>
      <c r="R4" s="8" t="inlineStr">
        <is>
          <t>Fiabilité donnée</t>
        </is>
      </c>
      <c r="S4" s="8" t="inlineStr">
        <is>
          <t>Vérifier SIRET / APE / Dirigeant</t>
        </is>
      </c>
      <c r="T4" s="8" t="inlineStr">
        <is>
          <t>Statut prospection</t>
        </is>
      </c>
      <c r="U4" s="8" t="inlineStr">
        <is>
          <t>Date dernier contact</t>
        </is>
      </c>
      <c r="V4" s="8" t="inlineStr">
        <is>
          <t>Notes</t>
        </is>
      </c>
    </row>
    <row r="5" ht="46" customHeight="1">
      <c r="A5" s="9" t="n">
        <v>1</v>
      </c>
      <c r="B5" s="10" t="inlineStr">
        <is>
          <t>AURAR – UNITÉ DE SAINT-BENOÎT</t>
        </is>
      </c>
      <c r="C5" s="9" t="inlineStr">
        <is>
          <t>Dialyse / Association de santé</t>
        </is>
      </c>
      <c r="D5" s="11" t="inlineStr">
        <is>
          <t>1 rue des Aubépines</t>
        </is>
      </c>
      <c r="E5" s="9" t="inlineStr">
        <is>
          <t>97470</t>
        </is>
      </c>
      <c r="F5" s="9" t="inlineStr">
        <is>
          <t>Saint-Benoît</t>
        </is>
      </c>
      <c r="G5" s="12" t="inlineStr">
        <is>
          <t>A VERIFIER</t>
        </is>
      </c>
      <c r="H5" s="9" t="inlineStr">
        <is>
          <t>A VERIFIER</t>
        </is>
      </c>
      <c r="I5" s="11" t="inlineStr">
        <is>
          <t>A VERIFIER</t>
        </is>
      </c>
      <c r="J5" s="9" t="inlineStr">
        <is>
          <t>A COMPLETER</t>
        </is>
      </c>
      <c r="K5" s="9" t="inlineStr">
        <is>
          <t>A COMPLETER</t>
        </is>
      </c>
      <c r="L5" s="9" t="inlineStr">
        <is>
          <t>Dirigeant / DG</t>
        </is>
      </c>
      <c r="M5" s="12" t="inlineStr">
        <is>
          <t>0262 98 98 98</t>
        </is>
      </c>
      <c r="N5" s="9" t="inlineStr">
        <is>
          <t>A COMPLETER</t>
        </is>
      </c>
      <c r="O5" s="13" t="inlineStr">
        <is>
          <t>https://aurar.fr/nous-trouver/</t>
        </is>
      </c>
      <c r="P5" s="11" t="inlineStr">
        <is>
          <t>Opérateur logistique / Prépa. commandes</t>
        </is>
      </c>
      <c r="Q5" s="9" t="inlineStr">
        <is>
          <t>P1</t>
        </is>
      </c>
      <c r="R5" s="9" t="inlineStr">
        <is>
          <t>Source annuaire</t>
        </is>
      </c>
      <c r="S5" s="13" t="inlineStr">
        <is>
          <t>Ouvrir la fiche entreprise</t>
        </is>
      </c>
      <c r="T5" s="9" t="inlineStr">
        <is>
          <t>A contacter</t>
        </is>
      </c>
      <c r="U5" s="14" t="inlineStr"/>
      <c r="V5" s="11" t="inlineStr">
        <is>
          <t>Centre lourd, dialyse médicalisée et auto-dialyse. Téléphone relevé en source publique, à reconfirmer. Approvisionnement en consommables et gestion de stock sur site : poste d'apprenti tout à fait tenable.</t>
        </is>
      </c>
    </row>
    <row r="6" ht="46" customHeight="1">
      <c r="A6" s="15" t="n">
        <v>2</v>
      </c>
      <c r="B6" s="16" t="inlineStr">
        <is>
          <t>AURAR – AUTRES UNITÉS DU NORD-EST</t>
        </is>
      </c>
      <c r="C6" s="15" t="inlineStr">
        <is>
          <t>Dialyse / Association de santé</t>
        </is>
      </c>
      <c r="D6" s="17" t="inlineStr">
        <is>
          <t>A VERIFIER</t>
        </is>
      </c>
      <c r="E6" s="15" t="inlineStr">
        <is>
          <t>97490</t>
        </is>
      </c>
      <c r="F6" s="15" t="inlineStr">
        <is>
          <t>Sainte-Clotilde (Saint-Denis)</t>
        </is>
      </c>
      <c r="G6" s="18" t="inlineStr">
        <is>
          <t>A VERIFIER</t>
        </is>
      </c>
      <c r="H6" s="15" t="inlineStr">
        <is>
          <t>A VERIFIER</t>
        </is>
      </c>
      <c r="I6" s="17" t="inlineStr">
        <is>
          <t>A VERIFIER</t>
        </is>
      </c>
      <c r="J6" s="15" t="inlineStr">
        <is>
          <t>A COMPLETER</t>
        </is>
      </c>
      <c r="K6" s="15" t="inlineStr">
        <is>
          <t>A COMPLETER</t>
        </is>
      </c>
      <c r="L6" s="15" t="inlineStr">
        <is>
          <t>Dirigeant / DG</t>
        </is>
      </c>
      <c r="M6" s="18" t="inlineStr">
        <is>
          <t>A COMPLETER</t>
        </is>
      </c>
      <c r="N6" s="15" t="inlineStr">
        <is>
          <t>A COMPLETER</t>
        </is>
      </c>
      <c r="O6" s="15" t="inlineStr">
        <is>
          <t>A COMPLETER</t>
        </is>
      </c>
      <c r="P6" s="17" t="inlineStr">
        <is>
          <t>Opérateur logistique / Prépa. commandes</t>
        </is>
      </c>
      <c r="Q6" s="15" t="inlineStr">
        <is>
          <t>P2</t>
        </is>
      </c>
      <c r="R6" s="15" t="inlineStr">
        <is>
          <t>Source annuaire</t>
        </is>
      </c>
      <c r="S6" s="19" t="inlineStr">
        <is>
          <t>Ouvrir la fiche entreprise</t>
        </is>
      </c>
      <c r="T6" s="15" t="inlineStr">
        <is>
          <t>A contacter</t>
        </is>
      </c>
      <c r="U6" s="20" t="inlineStr"/>
      <c r="V6" s="17" t="inlineStr">
        <is>
          <t>L'AURAR est présente dans l'Est, le Nord, l'Ouest et le Sud. Une seule négociation avec le siège peut couvrir plusieurs unités du bassin.</t>
        </is>
      </c>
    </row>
    <row r="7" ht="46" customHeight="1">
      <c r="A7" s="9" t="n">
        <v>3</v>
      </c>
      <c r="B7" s="10" t="inlineStr">
        <is>
          <t>EHPAD DU BASSIN NORD-EST</t>
        </is>
      </c>
      <c r="C7" s="9" t="inlineStr">
        <is>
          <t>EHPAD – à lister</t>
        </is>
      </c>
      <c r="D7" s="11" t="inlineStr">
        <is>
          <t>Annuaire sante.fr / FINESS, filtre communes du bassin</t>
        </is>
      </c>
      <c r="E7" s="9" t="inlineStr">
        <is>
          <t>97400</t>
        </is>
      </c>
      <c r="F7" s="9" t="inlineStr">
        <is>
          <t>Bassin Nord-Est</t>
        </is>
      </c>
      <c r="G7" s="12" t="inlineStr">
        <is>
          <t>A VERIFIER</t>
        </is>
      </c>
      <c r="H7" s="9" t="inlineStr">
        <is>
          <t>A VERIFIER</t>
        </is>
      </c>
      <c r="I7" s="11" t="inlineStr">
        <is>
          <t>A VERIFIER</t>
        </is>
      </c>
      <c r="J7" s="9" t="inlineStr">
        <is>
          <t>A COMPLETER</t>
        </is>
      </c>
      <c r="K7" s="9" t="inlineStr">
        <is>
          <t>A COMPLETER</t>
        </is>
      </c>
      <c r="L7" s="9" t="inlineStr">
        <is>
          <t>Dirigeant / DG</t>
        </is>
      </c>
      <c r="M7" s="12" t="inlineStr">
        <is>
          <t>A COMPLETER</t>
        </is>
      </c>
      <c r="N7" s="9" t="inlineStr">
        <is>
          <t>A COMPLETER</t>
        </is>
      </c>
      <c r="O7" s="9" t="inlineStr">
        <is>
          <t>A COMPLETER</t>
        </is>
      </c>
      <c r="P7" s="11" t="inlineStr">
        <is>
          <t>Logistique de restauration collective</t>
        </is>
      </c>
      <c r="Q7" s="9" t="inlineStr">
        <is>
          <t>P2</t>
        </is>
      </c>
      <c r="R7" s="9" t="inlineStr">
        <is>
          <t>A vérifier</t>
        </is>
      </c>
      <c r="S7" s="13" t="inlineStr">
        <is>
          <t>Ouvrir la fiche entreprise</t>
        </is>
      </c>
      <c r="T7" s="9" t="inlineStr">
        <is>
          <t>A contacter</t>
        </is>
      </c>
      <c r="U7" s="14" t="inlineStr"/>
      <c r="V7" s="11" t="inlineStr">
        <is>
          <t>Chaque EHPAD a une cuisine, une lingerie, un magasin de protections et de matériel médical. Structures petites mais nombreuses : un apprenti par EHPAD, et le directeur décide seul. Méthode : sante.fr, filtre EHPAD + commune.</t>
        </is>
      </c>
    </row>
    <row r="8" ht="46" customHeight="1">
      <c r="A8" s="15" t="n">
        <v>4</v>
      </c>
      <c r="B8" s="16" t="inlineStr">
        <is>
          <t>ESAT ET ÉTABLISSEMENTS MÉDICO-SOCIAUX DU BASSIN</t>
        </is>
      </c>
      <c r="C8" s="15" t="inlineStr">
        <is>
          <t>ESAT / IME / Foyers – à lister</t>
        </is>
      </c>
      <c r="D8" s="17" t="inlineStr">
        <is>
          <t>A VERIFIER</t>
        </is>
      </c>
      <c r="E8" s="15" t="inlineStr">
        <is>
          <t>97400</t>
        </is>
      </c>
      <c r="F8" s="15" t="inlineStr">
        <is>
          <t>Bassin Nord-Est</t>
        </is>
      </c>
      <c r="G8" s="18" t="inlineStr">
        <is>
          <t>A VERIFIER</t>
        </is>
      </c>
      <c r="H8" s="15" t="inlineStr">
        <is>
          <t>A VERIFIER</t>
        </is>
      </c>
      <c r="I8" s="17" t="inlineStr">
        <is>
          <t>A VERIFIER</t>
        </is>
      </c>
      <c r="J8" s="15" t="inlineStr">
        <is>
          <t>A COMPLETER</t>
        </is>
      </c>
      <c r="K8" s="15" t="inlineStr">
        <is>
          <t>A COMPLETER</t>
        </is>
      </c>
      <c r="L8" s="15" t="inlineStr">
        <is>
          <t>Dirigeant / DG</t>
        </is>
      </c>
      <c r="M8" s="18" t="inlineStr">
        <is>
          <t>A COMPLETER</t>
        </is>
      </c>
      <c r="N8" s="15" t="inlineStr">
        <is>
          <t>A COMPLETER</t>
        </is>
      </c>
      <c r="O8" s="15" t="inlineStr">
        <is>
          <t>A COMPLETER</t>
        </is>
      </c>
      <c r="P8" s="17" t="inlineStr">
        <is>
          <t>Opérateur logistique / Prépa. commandes</t>
        </is>
      </c>
      <c r="Q8" s="15" t="inlineStr">
        <is>
          <t>P2</t>
        </is>
      </c>
      <c r="R8" s="15" t="inlineStr">
        <is>
          <t>A vérifier</t>
        </is>
      </c>
      <c r="S8" s="19" t="inlineStr">
        <is>
          <t>Ouvrir la fiche entreprise</t>
        </is>
      </c>
      <c r="T8" s="15" t="inlineStr">
        <is>
          <t>A contacter</t>
        </is>
      </c>
      <c r="U8" s="20" t="inlineStr"/>
      <c r="V8" s="17" t="inlineStr">
        <is>
          <t>Les ESAT ont souvent des ateliers de conditionnement, de tri et de logistique : l'apprenti y encadre et organise le flux. Double intérêt : poste logistique réel et forte adhésion des directions à la démarche d'insertion.</t>
        </is>
      </c>
    </row>
  </sheetData>
  <autoFilter ref="A4:V8"/>
  <mergeCells count="2">
    <mergeCell ref="A2:V2"/>
    <mergeCell ref="A1:V1"/>
  </mergeCells>
  <dataValidations count="3">
    <dataValidation sqref="T5:T404" showDropDown="0" showInputMessage="0" showErrorMessage="0" allowBlank="1" type="list">
      <formula1>"A contacter,Message laissé,RDV pris,Visite faite,Offre déposée,Candidat proposé,Contrat signé,Sans suite"</formula1>
    </dataValidation>
    <dataValidation sqref="Q5:Q404" showDropDown="0" showInputMessage="0" showErrorMessage="0" allowBlank="1" type="list">
      <formula1>"P1,P2,P3"</formula1>
    </dataValidation>
    <dataValidation sqref="R5:R404" showDropDown="0" showInputMessage="0" showErrorMessage="0" allowBlank="1" type="list">
      <formula1>"Vérifié INSEE,Vérifié,Source annuaire,A vérifier"</formula1>
    </dataValidation>
  </dataValidations>
  <hyperlinks>
    <hyperlink xmlns:r="http://schemas.openxmlformats.org/officeDocument/2006/relationships" ref="O5" r:id="rId1"/>
    <hyperlink xmlns:r="http://schemas.openxmlformats.org/officeDocument/2006/relationships" ref="S5" r:id="rId2"/>
    <hyperlink xmlns:r="http://schemas.openxmlformats.org/officeDocument/2006/relationships" ref="S6" r:id="rId3"/>
    <hyperlink xmlns:r="http://schemas.openxmlformats.org/officeDocument/2006/relationships" ref="S7" r:id="rId4"/>
    <hyperlink xmlns:r="http://schemas.openxmlformats.org/officeDocument/2006/relationships" ref="S8" r:id="rId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0"/>
  <sheetViews>
    <sheetView showGridLines="0" workbookViewId="0">
      <selection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s>
  <sheetData>
    <row r="1" ht="24" customHeight="1">
      <c r="A1" s="7" t="inlineStr">
        <is>
          <t>PILOTAGE DE LA CAMPAGNE – PUBLIC &amp; SANTÉ</t>
        </is>
      </c>
    </row>
    <row r="2" ht="16" customHeight="1">
      <c r="A2" s="2" t="inlineStr">
        <is>
          <t>Compteurs automatiques – se mettent à jour quand vous remplissez les onglets 01 à 07</t>
        </is>
      </c>
    </row>
    <row r="4">
      <c r="A4" s="21" t="inlineStr">
        <is>
          <t>VOLUME PAR FAMILLE DE STRUCTURES</t>
        </is>
      </c>
    </row>
    <row r="5">
      <c r="A5" s="22" t="inlineStr">
        <is>
          <t>Onglet</t>
        </is>
      </c>
      <c r="B5" s="22" t="inlineStr">
        <is>
          <t>Structures</t>
        </is>
      </c>
      <c r="C5" s="22" t="inlineStr">
        <is>
          <t>À contacter</t>
        </is>
      </c>
      <c r="D5" s="22" t="inlineStr">
        <is>
          <t>RDV pris</t>
        </is>
      </c>
      <c r="E5" s="22" t="inlineStr">
        <is>
          <t>Contrats signés</t>
        </is>
      </c>
      <c r="F5" s="22" t="inlineStr">
        <is>
          <t>Taux de signature</t>
        </is>
      </c>
    </row>
    <row r="6">
      <c r="A6" s="23" t="inlineStr">
        <is>
          <t>01 Communes &amp; CCAS</t>
        </is>
      </c>
      <c r="B6" s="23" t="n">
        <v>12</v>
      </c>
      <c r="C6" s="23">
        <f>COUNTIF('01 Communes &amp; CCAS'!$T$5:$T$400,"A contacter")</f>
        <v/>
      </c>
      <c r="D6" s="23">
        <f>COUNTIF('01 Communes &amp; CCAS'!$T$5:$T$400,"RDV pris")</f>
        <v/>
      </c>
      <c r="E6" s="23">
        <f>COUNTIF('01 Communes &amp; CCAS'!$T$5:$T$400,"Contrat signé")</f>
        <v/>
      </c>
      <c r="F6" s="24">
        <f>IF(B6=0,"",E6/B6)</f>
        <v/>
      </c>
    </row>
    <row r="7">
      <c r="A7" s="23" t="inlineStr">
        <is>
          <t>02 Intercommunalités</t>
        </is>
      </c>
      <c r="B7" s="23" t="n">
        <v>4</v>
      </c>
      <c r="C7" s="23">
        <f>COUNTIF('02 Intercommunalités'!$T$5:$T$400,"A contacter")</f>
        <v/>
      </c>
      <c r="D7" s="23">
        <f>COUNTIF('02 Intercommunalités'!$T$5:$T$400,"RDV pris")</f>
        <v/>
      </c>
      <c r="E7" s="23">
        <f>COUNTIF('02 Intercommunalités'!$T$5:$T$400,"Contrat signé")</f>
        <v/>
      </c>
      <c r="F7" s="24">
        <f>IF(B7=0,"",E7/B7)</f>
        <v/>
      </c>
    </row>
    <row r="8">
      <c r="A8" s="23" t="inlineStr">
        <is>
          <t>03 Département, Région &amp; État</t>
        </is>
      </c>
      <c r="B8" s="23" t="n">
        <v>6</v>
      </c>
      <c r="C8" s="23">
        <f>COUNTIF('03 Département, Région &amp; État'!$T$5:$T$400,"A contacter")</f>
        <v/>
      </c>
      <c r="D8" s="23">
        <f>COUNTIF('03 Département, Région &amp; État'!$T$5:$T$400,"RDV pris")</f>
        <v/>
      </c>
      <c r="E8" s="23">
        <f>COUNTIF('03 Département, Région &amp; État'!$T$5:$T$400,"Contrat signé")</f>
        <v/>
      </c>
      <c r="F8" s="24">
        <f>IF(B8=0,"",E8/B8)</f>
        <v/>
      </c>
    </row>
    <row r="9">
      <c r="A9" s="23" t="inlineStr">
        <is>
          <t>04 Lycées &amp; collèges</t>
        </is>
      </c>
      <c r="B9" s="23" t="n">
        <v>6</v>
      </c>
      <c r="C9" s="23">
        <f>COUNTIF('04 Lycées &amp; collèges'!$T$5:$T$400,"A contacter")</f>
        <v/>
      </c>
      <c r="D9" s="23">
        <f>COUNTIF('04 Lycées &amp; collèges'!$T$5:$T$400,"RDV pris")</f>
        <v/>
      </c>
      <c r="E9" s="23">
        <f>COUNTIF('04 Lycées &amp; collèges'!$T$5:$T$400,"Contrat signé")</f>
        <v/>
      </c>
      <c r="F9" s="24">
        <f>IF(B9=0,"",E9/B9)</f>
        <v/>
      </c>
    </row>
    <row r="10">
      <c r="A10" s="23" t="inlineStr">
        <is>
          <t>05 Hôpital public</t>
        </is>
      </c>
      <c r="B10" s="23" t="n">
        <v>3</v>
      </c>
      <c r="C10" s="23">
        <f>COUNTIF('05 Hôpital public'!$T$5:$T$400,"A contacter")</f>
        <v/>
      </c>
      <c r="D10" s="23">
        <f>COUNTIF('05 Hôpital public'!$T$5:$T$400,"RDV pris")</f>
        <v/>
      </c>
      <c r="E10" s="23">
        <f>COUNTIF('05 Hôpital public'!$T$5:$T$400,"Contrat signé")</f>
        <v/>
      </c>
      <c r="F10" s="24">
        <f>IF(B10=0,"",E10/B10)</f>
        <v/>
      </c>
    </row>
    <row r="11">
      <c r="A11" s="23" t="inlineStr">
        <is>
          <t>06 Cliniques &amp; santé privée</t>
        </is>
      </c>
      <c r="B11" s="23" t="n">
        <v>4</v>
      </c>
      <c r="C11" s="23">
        <f>COUNTIF('06 Cliniques &amp; santé privée'!$T$5:$T$400,"A contacter")</f>
        <v/>
      </c>
      <c r="D11" s="23">
        <f>COUNTIF('06 Cliniques &amp; santé privée'!$T$5:$T$400,"RDV pris")</f>
        <v/>
      </c>
      <c r="E11" s="23">
        <f>COUNTIF('06 Cliniques &amp; santé privée'!$T$5:$T$400,"Contrat signé")</f>
        <v/>
      </c>
      <c r="F11" s="24">
        <f>IF(B11=0,"",E11/B11)</f>
        <v/>
      </c>
    </row>
    <row r="12">
      <c r="A12" s="23" t="inlineStr">
        <is>
          <t>07 EHPAD &amp; médico-social</t>
        </is>
      </c>
      <c r="B12" s="23" t="n">
        <v>4</v>
      </c>
      <c r="C12" s="23">
        <f>COUNTIF('07 EHPAD &amp; médico-social'!$T$5:$T$400,"A contacter")</f>
        <v/>
      </c>
      <c r="D12" s="23">
        <f>COUNTIF('07 EHPAD &amp; médico-social'!$T$5:$T$400,"RDV pris")</f>
        <v/>
      </c>
      <c r="E12" s="23">
        <f>COUNTIF('07 EHPAD &amp; médico-social'!$T$5:$T$400,"Contrat signé")</f>
        <v/>
      </c>
      <c r="F12" s="24">
        <f>IF(B12=0,"",E12/B12)</f>
        <v/>
      </c>
    </row>
    <row r="13">
      <c r="A13" s="25" t="inlineStr">
        <is>
          <t>TOTAL SECTEUR PUBLIC &amp; SANTÉ</t>
        </is>
      </c>
      <c r="B13" s="25">
        <f>SUM(B6:B12)</f>
        <v/>
      </c>
      <c r="C13" s="25">
        <f>SUM(C6:C12)</f>
        <v/>
      </c>
      <c r="D13" s="25">
        <f>SUM(D6:D12)</f>
        <v/>
      </c>
      <c r="E13" s="25">
        <f>SUM(E6:E12)</f>
        <v/>
      </c>
      <c r="F13" s="26">
        <f>IF(B13=0,"",E13/B13)</f>
        <v/>
      </c>
    </row>
    <row r="16">
      <c r="A16" s="21" t="inlineStr">
        <is>
          <t>OBJECTIFS DE LA CAMPAGNE</t>
        </is>
      </c>
    </row>
    <row r="17">
      <c r="A17" s="27" t="inlineStr">
        <is>
          <t>Structures à rencontrer / semaine</t>
        </is>
      </c>
      <c r="B17" s="28" t="inlineStr">
        <is>
          <t>5</t>
        </is>
      </c>
    </row>
    <row r="18">
      <c r="A18" s="27" t="inlineStr">
        <is>
          <t>Objectif recensement CNFPT</t>
        </is>
      </c>
      <c r="B18" s="28" t="inlineStr">
        <is>
          <t>toutes les collectivités P1 avant la campagne de janvier</t>
        </is>
      </c>
    </row>
    <row r="19">
      <c r="A19" s="27" t="inlineStr">
        <is>
          <t>Offres d'apprentissage à collecter</t>
        </is>
      </c>
      <c r="B19" s="28" t="inlineStr">
        <is>
          <t>à définir</t>
        </is>
      </c>
    </row>
    <row r="20">
      <c r="A20" s="27" t="inlineStr">
        <is>
          <t>Rappel</t>
        </is>
      </c>
      <c r="B20" s="28" t="inlineStr">
        <is>
          <t>dans le public, compter 3 mois entre l'accord oral et la signature</t>
        </is>
      </c>
    </row>
  </sheetData>
  <mergeCells count="2">
    <mergeCell ref="A2:F2"/>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1"/>
  <sheetViews>
    <sheetView showGridLines="0" workbookViewId="0">
      <selection activeCell="A1" sqref="A1"/>
    </sheetView>
  </sheetViews>
  <sheetFormatPr baseColWidth="8" defaultRowHeight="15"/>
  <cols>
    <col width="34" customWidth="1" min="1" max="1"/>
    <col width="108" customWidth="1" min="2" max="2"/>
  </cols>
  <sheetData>
    <row r="1" ht="24" customHeight="1">
      <c r="A1" s="7" t="inlineStr">
        <is>
          <t>L'APPRENTISSAGE DANS LE SECTEUR PUBLIC</t>
        </is>
      </c>
    </row>
    <row r="2" ht="16" customHeight="1">
      <c r="A2" s="2" t="inlineStr">
        <is>
          <t>Ce qui change par rapport à une entreprise privée – à maîtriser avant le premier rendez-vous</t>
        </is>
      </c>
    </row>
    <row r="4" ht="20" customHeight="1">
      <c r="A4" s="3" t="inlineStr">
        <is>
          <t>1. TROIS FONCTIONS PUBLIQUES, TROIS RÈGLES</t>
        </is>
      </c>
      <c r="B4" s="4" t="n"/>
    </row>
    <row r="5" ht="28" customHeight="1">
      <c r="A5" s="5" t="inlineStr">
        <is>
          <t>Territoriale (FPT)</t>
        </is>
      </c>
      <c r="B5" s="6" t="inlineStr">
        <is>
          <t>Communes, CCAS, intercommunalités, Département, Région. C'est le CNFPT qui prend en charge les frais de formation.</t>
        </is>
      </c>
    </row>
    <row r="6" ht="28" customHeight="1">
      <c r="A6" s="5" t="inlineStr">
        <is>
          <t>Hospitalière (FPH)</t>
        </is>
      </c>
      <c r="B6" s="6" t="inlineStr">
        <is>
          <t>CHU, GHER. Le CNFPT n'intervient PAS : le financement relève de l'établissement, avec l'appui possible de l'ANFH. À confirmer établissement par établissement.</t>
        </is>
      </c>
    </row>
    <row r="7" ht="28" customHeight="1">
      <c r="A7" s="5" t="inlineStr">
        <is>
          <t>État (FPE)</t>
        </is>
      </c>
      <c r="B7" s="6" t="inlineStr">
        <is>
          <t>Rectorat, lycées et collèges, université. Financement porté par l'administration employeuse. À confirmer au cas par cas.</t>
        </is>
      </c>
    </row>
    <row r="8" ht="28" customHeight="1">
      <c r="A8" s="5" t="inlineStr">
        <is>
          <t>Le privé de la santé</t>
        </is>
      </c>
      <c r="B8" s="6" t="inlineStr">
        <is>
          <t>Cliniques, dialyse, EHPAD associatifs : ce sont des employeurs PRIVÉS. On y applique les règles habituelles (OPCO, aides à l'embauche) — c'est souvent le circuit le plus rapide de tout ce fichier.</t>
        </is>
      </c>
    </row>
    <row r="9" ht="20" customHeight="1">
      <c r="A9" s="3" t="inlineStr">
        <is>
          <t>2. CE QUE FINANCE LE CNFPT (COLLECTIVITÉS)</t>
        </is>
      </c>
      <c r="B9" s="4" t="n"/>
    </row>
    <row r="10" ht="28" customHeight="1">
      <c r="A10" s="5" t="inlineStr">
        <is>
          <t>Le principe</t>
        </is>
      </c>
      <c r="B10" s="6" t="inlineStr">
        <is>
          <t>Le CNFPT prend en charge les frais de formation des apprentis des employeurs territoriaux. Pour 2026, il annonce le financement de 5 000 nouveaux contrats au niveau national.</t>
        </is>
      </c>
    </row>
    <row r="11" ht="28" customHeight="1">
      <c r="A11" s="5" t="inlineStr">
        <is>
          <t>Les niveaux financés</t>
        </is>
      </c>
      <c r="B11" s="6" t="inlineStr">
        <is>
          <t>Niveaux 3 à 5, c'est-à-dire du CAP au BTS. Les niveaux 6 et 7 (licence, master) ne sont plus financés depuis 2025. Vos titres logistique sont donc dans la bonne fourchette : c'est un argument, utilisez-le.</t>
        </is>
      </c>
    </row>
    <row r="12" ht="28" customHeight="1">
      <c r="A12" s="5" t="inlineStr">
        <is>
          <t>La condition n°1</t>
        </is>
      </c>
      <c r="B12" s="6" t="inlineStr">
        <is>
          <t>L'employeur doit s'être RECENSÉ auprès du CNFPT pendant la campagne annuelle (celle de 2026 était ouverte du 19 janvier au 20 mars 2026). Pas de recensement = pas de financement, même avec un bon candidat.</t>
        </is>
      </c>
    </row>
    <row r="13" ht="42" customHeight="1">
      <c r="A13" s="5" t="inlineStr">
        <is>
          <t>La condition n°2</t>
        </is>
      </c>
      <c r="B13" s="6" t="inlineStr">
        <is>
          <t>Le métier visé doit figurer sur la liste des métiers en tension du CNFPT. VÉRIFIEZ que votre métier logistique y figure AVANT de promettre un financement à un DRH : c'est une promesse qui ne se rattrape pas.</t>
        </is>
      </c>
    </row>
    <row r="14" ht="42" customHeight="1">
      <c r="A14" s="5" t="inlineStr">
        <is>
          <t>Les deux pièces à déposer</t>
        </is>
      </c>
      <c r="B14" s="6" t="inlineStr">
        <is>
          <t>① l'APF (accord préalable de financement) : déposé par la collectivité dans les 3 mois qui précèdent le début du contrat. ② l'APC (demande de financement) : déposée par LE CFA dans le mois qui suit le démarrage. Cette deuxième pièce est de votre responsabilité — ne la laissez pas passer.</t>
        </is>
      </c>
    </row>
    <row r="15" ht="28" customHeight="1">
      <c r="A15" s="5" t="inlineStr">
        <is>
          <t>À revérifier chaque année</t>
        </is>
      </c>
      <c r="B15" s="6" t="inlineStr">
        <is>
          <t>Les montants, les quotas et les dates de campagne changent d'une année sur l'autre. Ne citez jamais un chiffre sans l'avoir revérifié sur cnfpt.fr la semaine même.</t>
        </is>
      </c>
    </row>
    <row r="16" ht="20" customHeight="1">
      <c r="A16" s="3" t="inlineStr">
        <is>
          <t>3. LA CONSÉQUENCE : UN CALENDRIER INVERSÉ</t>
        </is>
      </c>
      <c r="B16" s="4" t="n"/>
    </row>
    <row r="17" ht="28" customHeight="1">
      <c r="A17" s="5" t="inlineStr">
        <is>
          <t>Le piège</t>
        </is>
      </c>
      <c r="B17" s="6" t="inlineStr">
        <is>
          <t>Dans le privé, on prospecte au printemps pour la rentrée. Dans le public territorial, si la collectivité ne s'est pas recensée en janvier-mars, la rentrée est déjà perdue pour le financement.</t>
        </is>
      </c>
    </row>
    <row r="18" ht="42" customHeight="1">
      <c r="A18" s="5" t="inlineStr">
        <is>
          <t>Ce que ça change pour vous</t>
        </is>
      </c>
      <c r="B18" s="6" t="inlineStr">
        <is>
          <t>Vos rendez-vous d'octobre à décembre ne servent pas à signer : ils servent à faire inscrire la collectivité au recensement de janvier. Le closing, c'est « est-ce que je peux vous rappeler le 15 janvier pour votre recensement ? » — pas « est-ce que vous prenez un apprenti ? ».</t>
        </is>
      </c>
    </row>
    <row r="19" ht="42" customHeight="1">
      <c r="A19" s="5" t="inlineStr">
        <is>
          <t>Et si la campagne est passée</t>
        </is>
      </c>
      <c r="B19" s="6" t="inlineStr">
        <is>
          <t>Deux options : demander au CNFPT s'il reste des contrats finançables sur l'année en cours, et surtout sécuriser l'intention pour la campagne suivante. Notez la date de rappel dans la colonne U de l'onglet concerné.</t>
        </is>
      </c>
    </row>
    <row r="20" ht="20" customHeight="1">
      <c r="A20" s="3" t="inlineStr">
        <is>
          <t>4. LES DÉLAIS ADMINISTRATIFS À ANTICIPER</t>
        </is>
      </c>
      <c r="B20" s="4" t="n"/>
    </row>
    <row r="21" ht="42" customHeight="1">
      <c r="A21" s="5" t="inlineStr">
        <is>
          <t>Ce qui prend du temps</t>
        </is>
      </c>
      <c r="B21" s="6" t="inlineStr">
        <is>
          <t>Inscription du poste au tableau des effectifs, délibération ou décision de l'exécutif, avis des instances, visa du comptable public. Comptez 3 mois entre l'accord oral et la signature — c'est normal, ce n'est pas un refus.</t>
        </is>
      </c>
    </row>
    <row r="22" ht="28" customHeight="1">
      <c r="A22" s="5" t="inlineStr">
        <is>
          <t>Comment le gérer</t>
        </is>
      </c>
      <c r="B22" s="6" t="inlineStr">
        <is>
          <t>Faites du délai un argument : « je vous sollicite maintenant justement parce que je sais qu'il vous faut passer par une délibération ».</t>
        </is>
      </c>
    </row>
    <row r="23" ht="20" customHeight="1">
      <c r="A23" s="3" t="inlineStr">
        <is>
          <t>5. LES OBJECTIONS SPÉCIFIQUES AU PUBLIC</t>
        </is>
      </c>
      <c r="B23" s="4" t="n"/>
    </row>
    <row r="24" ht="28" customHeight="1">
      <c r="A24" s="5" t="inlineStr">
        <is>
          <t>« Nous n'avons pas de budget »</t>
        </is>
      </c>
      <c r="B24" s="6" t="inlineStr">
        <is>
          <t>« Les frais de formation ne sortent pas de votre budget : le CNFPT les prend en charge pour les niveaux CAP à BTS. Il vous reste la rémunération de l'apprenti, la plus basse du marché du travail. »</t>
        </is>
      </c>
    </row>
    <row r="25" ht="28" customHeight="1">
      <c r="A25" s="5" t="inlineStr">
        <is>
          <t>« Il faut une délibération »</t>
        </is>
      </c>
      <c r="B25" s="6" t="inlineStr">
        <is>
          <t>« Exactement, et c'est pour ça que je viens maintenant et pas en juillet. Je vous prépare la fiche de poste et le calendrier, vous n'avez plus qu'à la passer. »</t>
        </is>
      </c>
    </row>
    <row r="26" ht="56" customHeight="1">
      <c r="A26" s="5" t="inlineStr">
        <is>
          <t>« On ne pourra pas le garder après »</t>
        </is>
      </c>
      <c r="B26" s="6" t="inlineStr">
        <is>
          <t>Soyez honnête : l'apprentissage n'ouvre PAS droit à titularisation automatique — il faut le concours. Mais l'apprenti devient un candidat déjà formé à vos process, recrutable en contractuel, et prêt pour le concours. Un dispositif spécifique de titularisation existe pour les apprentis en situation de handicap : à vérifier au cas par cas.</t>
        </is>
      </c>
    </row>
    <row r="27" ht="28" customHeight="1">
      <c r="A27" s="5" t="inlineStr">
        <is>
          <t>« Nous n'avons pas de tuteur »</t>
        </is>
      </c>
      <c r="B27" s="6" t="inlineStr">
        <is>
          <t>« Votre magasinier ou votre agent d'économat en est un. Je le forme et je l'accompagne, c'est compris dans notre accompagnement. »</t>
        </is>
      </c>
    </row>
    <row r="28" ht="20" customHeight="1">
      <c r="A28" s="3" t="inlineStr">
        <is>
          <t>6. VOS TROIS MEILLEURS ARGUMENTS DANS LE PUBLIC</t>
        </is>
      </c>
      <c r="B28" s="4" t="n"/>
    </row>
    <row r="29" ht="28" customHeight="1">
      <c r="A29" s="5" t="inlineStr">
        <is>
          <t>① La transmission avant les départs</t>
        </is>
      </c>
      <c r="B29" s="6" t="inlineStr">
        <is>
          <t>Les magasiniers et agents d'économat partent en retraite et les savoirs partent avec eux. L'apprentissage est le seul moyen de transmettre avant le départ.</t>
        </is>
      </c>
    </row>
    <row r="30" ht="42" customHeight="1">
      <c r="A30" s="5" t="inlineStr">
        <is>
          <t>② L'emploi des jeunes du territoire</t>
        </is>
      </c>
      <c r="B30" s="6" t="inlineStr">
        <is>
          <t>Un élu entend cet argument mieux que n'importe quel autre : vos candidats habitent la commune, et beaucoup n'ont pas de moyen de locomotion pour aller travailler ailleurs. À Sainte-Rose, Salazie ou La Plaine, la collectivité est parfois le seul employeur accessible.</t>
        </is>
      </c>
    </row>
    <row r="31" ht="28" customHeight="1">
      <c r="A31" s="5" t="inlineStr">
        <is>
          <t>③ Le coût maîtrisé</t>
        </is>
      </c>
      <c r="B31" s="6" t="inlineStr">
        <is>
          <t>Formation prise en charge pour les niveaux CAP à BTS, rémunération réduite, aucun coût de recrutement. À condition d'avoir fait le recensement.</t>
        </is>
      </c>
    </row>
  </sheetData>
  <mergeCells count="2">
    <mergeCell ref="A2:B2"/>
    <mergeCell ref="A1:B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30" customWidth="1" min="1" max="1"/>
    <col width="110" customWidth="1" min="2" max="2"/>
  </cols>
  <sheetData>
    <row r="1" ht="24" customHeight="1">
      <c r="A1" s="7" t="inlineStr">
        <is>
          <t>SCRIPT D'APPEL – COLLECTIVITÉS, ÉCOLES ET SANTÉ</t>
        </is>
      </c>
    </row>
    <row r="2" ht="16" customHeight="1">
      <c r="A2" s="2" t="inlineStr">
        <is>
          <t>On ne parle pas à une mairie comme à un transporteur</t>
        </is>
      </c>
    </row>
    <row r="4" ht="20" customHeight="1">
      <c r="A4" s="3" t="inlineStr">
        <is>
          <t>1. TROUVER LA BONNE PORTE</t>
        </is>
      </c>
      <c r="B4" s="4" t="n"/>
    </row>
    <row r="5" ht="28" customHeight="1">
      <c r="A5" s="5" t="inlineStr">
        <is>
          <t>Commune / CCAS</t>
        </is>
      </c>
      <c r="B5" s="6" t="inlineStr">
        <is>
          <t>Demandez le DGS (directeur général des services) OU le directeur des services techniques. Formule : « je cherche la personne qui gère le magasin communal et les approvisionnements ».</t>
        </is>
      </c>
    </row>
    <row r="6" ht="28" customHeight="1">
      <c r="A6" s="5" t="inlineStr">
        <is>
          <t>Lycée / collège</t>
        </is>
      </c>
      <c r="B6" s="6" t="inlineStr">
        <is>
          <t>Demandez l'ADJOINT GESTIONNAIRE. C'est lui qui tient le magasin, la demi-pension et les commandes. Ne demandez pas le proviseur en premier.</t>
        </is>
      </c>
    </row>
    <row r="7" ht="28" customHeight="1">
      <c r="A7" s="5" t="inlineStr">
        <is>
          <t>Hôpital / CHU</t>
        </is>
      </c>
      <c r="B7" s="6" t="inlineStr">
        <is>
          <t>Demandez la direction des achats et de la logistique, puis la DRH. Le cadre du magasin général est celui qui dira « j'en ai besoin ».</t>
        </is>
      </c>
    </row>
    <row r="8" ht="28" customHeight="1">
      <c r="A8" s="5" t="inlineStr">
        <is>
          <t>Clinique / EHPAD</t>
        </is>
      </c>
      <c r="B8" s="6" t="inlineStr">
        <is>
          <t>Demandez la DRH, le pharmacien gérant ou le responsable des services économiques. Dans un EHPAD, le directeur décide seul : c'est le circuit le plus court.</t>
        </is>
      </c>
    </row>
    <row r="9" ht="20" customHeight="1">
      <c r="A9" s="3" t="inlineStr">
        <is>
          <t>2. L'ACCROCHE (30 SECONDES)</t>
        </is>
      </c>
      <c r="B9" s="4" t="n"/>
    </row>
    <row r="10" ht="42" customHeight="1">
      <c r="A10" s="5" t="inlineStr">
        <is>
          <t>Phrase</t>
        </is>
      </c>
      <c r="B10" s="6" t="inlineStr">
        <is>
          <t>« Bonjour, [Prénom Nom], chargé des relations entreprises au CFA [nom]. Je ne vous appelle pas pour vous vendre une formation : je forme des jeunes de 16 à 25 ans aux métiers de la logistique sur le Nord-Est, et je cherche des structures qui ont un magasin ou un économat. Vous avez déjà accueilli un apprenti ? »</t>
        </is>
      </c>
    </row>
    <row r="11" ht="28" customHeight="1">
      <c r="A11" s="5" t="inlineStr">
        <is>
          <t>Pourquoi ça marche</t>
        </is>
      </c>
      <c r="B11" s="6" t="inlineStr">
        <is>
          <t>On annonce qu'on ne vend rien (essentiel dans le public, où l'on se méfie du démarchage), on nomme le territoire, et on termine par une question ouverte.</t>
        </is>
      </c>
    </row>
    <row r="12" ht="20" customHeight="1">
      <c r="A12" s="3" t="inlineStr">
        <is>
          <t>3. LA QUESTION QUI QUALIFIE EN 30 SECONDES</t>
        </is>
      </c>
      <c r="B12" s="4" t="n"/>
    </row>
    <row r="13" ht="15" customHeight="1">
      <c r="A13" s="5" t="inlineStr">
        <is>
          <t>À poser tôt</t>
        </is>
      </c>
      <c r="B13" s="6" t="inlineStr">
        <is>
          <t>« Qui réceptionne vos livraisons et qui tient votre stock aujourd'hui ? »</t>
        </is>
      </c>
    </row>
    <row r="14" ht="28" customHeight="1">
      <c r="A14" s="5" t="inlineStr">
        <is>
          <t>Ce que ça vous dit</t>
        </is>
      </c>
      <c r="B14" s="6" t="inlineStr">
        <is>
          <t>S'il y a une personne identifiée, il y a un poste ET un tuteur. Si la réponse est « tout le monde un peu », il y a un besoin d'organisation : c'est encore un meilleur argument.</t>
        </is>
      </c>
    </row>
    <row r="15" ht="20" customHeight="1">
      <c r="A15" s="3" t="inlineStr">
        <is>
          <t>4. LE CLOSING SPÉCIFIQUE AU PUBLIC</t>
        </is>
      </c>
      <c r="B15" s="4" t="n"/>
    </row>
    <row r="16" ht="28" customHeight="1">
      <c r="A16" s="5" t="inlineStr">
        <is>
          <t>Ne cherchez pas à signer</t>
        </is>
      </c>
      <c r="B16" s="6" t="inlineStr">
        <is>
          <t>Dans une collectivité, le premier appel ne se conclut jamais par une signature. Il se conclut par une DATE et un ENGAGEMENT DE RECENSEMENT.</t>
        </is>
      </c>
    </row>
    <row r="17" ht="28" customHeight="1">
      <c r="A17" s="5" t="inlineStr">
        <is>
          <t>Phrase de closing</t>
        </is>
      </c>
      <c r="B17" s="6" t="inlineStr">
        <is>
          <t>« Je vous propose qu'on se voie 20 minutes. L'objectif : que vous soyez inscrit au recensement CNFPT de janvier, pour garder la porte ouverte. Ça ne vous engage à rien et ça vous coûte zéro. »</t>
        </is>
      </c>
    </row>
    <row r="18" ht="28" customHeight="1">
      <c r="A18" s="5" t="inlineStr">
        <is>
          <t>À noter systématiquement</t>
        </is>
      </c>
      <c r="B18" s="6" t="inlineStr">
        <is>
          <t>La date de rappel dans la colonne U, et l'état du recensement dans la colonne V (Notes). C'est votre indicateur n°1 de septembre à janvier.</t>
        </is>
      </c>
    </row>
    <row r="19" ht="20" customHeight="1">
      <c r="A19" s="3" t="inlineStr">
        <is>
          <t>5. APRÈS L'APPEL – LE MÊME JOUR</t>
        </is>
      </c>
      <c r="B19" s="4" t="n"/>
    </row>
    <row r="20" ht="15" customHeight="1">
      <c r="A20" s="5" t="inlineStr">
        <is>
          <t>Traçabilité</t>
        </is>
      </c>
      <c r="B20" s="6" t="inlineStr">
        <is>
          <t>Colonnes « Statut prospection », « Date dernier contact » et « Notes ».</t>
        </is>
      </c>
    </row>
    <row r="21" ht="28" customHeight="1">
      <c r="A21" s="5" t="inlineStr">
        <is>
          <t>L'email qui vous démarque</t>
        </is>
      </c>
      <c r="B21" s="6" t="inlineStr">
        <is>
          <t>Envoyez sous 2h : la fiche de poste type de l'apprenti logistique, le calendrier CNFPT, et votre date de rappel. Un DRH de collectivité qui reçoit un calendrier propre vous rappelle.</t>
        </is>
      </c>
    </row>
  </sheetData>
  <mergeCells count="2">
    <mergeCell ref="A2:B2"/>
    <mergeCell ref="A1:B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52" customWidth="1" min="1" max="1"/>
    <col width="92" customWidth="1" min="2" max="2"/>
  </cols>
  <sheetData>
    <row r="1" ht="24" customHeight="1">
      <c r="A1" s="7" t="inlineStr">
        <is>
          <t>SOURCES DES DONNÉES</t>
        </is>
      </c>
    </row>
    <row r="2" ht="16" customHeight="1">
      <c r="A2" s="2" t="inlineStr">
        <is>
          <t>Traçabilité et outils pour compléter / actualiser le fichier</t>
        </is>
      </c>
    </row>
    <row r="4">
      <c r="A4" s="21" t="inlineStr">
        <is>
          <t>SOURCES UTILISÉES POUR CONSTRUIRE CE FICHIER</t>
        </is>
      </c>
    </row>
    <row r="5">
      <c r="A5" s="27" t="inlineStr">
        <is>
          <t>Annuaire des Entreprises (INSEE) – y compris collectivités</t>
        </is>
      </c>
      <c r="B5" s="29" t="inlineStr">
        <is>
          <t>https://annuaire-entreprises.data.gouv.fr/</t>
        </is>
      </c>
    </row>
    <row r="6">
      <c r="A6" s="27" t="inlineStr">
        <is>
          <t>CNFPT – financement des contrats d'apprentissage</t>
        </is>
      </c>
      <c r="B6" s="29" t="inlineStr">
        <is>
          <t>https://www.cnfpt.fr/s-informer/nos-actualites/le-fil-dactu/financement-contrats-dapprentissage/national</t>
        </is>
      </c>
    </row>
    <row r="7">
      <c r="A7" s="27" t="inlineStr">
        <is>
          <t>CNFPT – accueillir un apprenti dans une collectivité</t>
        </is>
      </c>
      <c r="B7" s="29" t="inlineStr">
        <is>
          <t>https://www.cnfpt.fr/se-former/accueillir-apprenti/lapprentissage-collectivites-territoriales</t>
        </is>
      </c>
    </row>
    <row r="8">
      <c r="A8" s="27" t="inlineStr">
        <is>
          <t>Annuaire de l'administration (Service-Public)</t>
        </is>
      </c>
      <c r="B8" s="29" t="inlineStr">
        <is>
          <t>https://lannuaire.service-public.gouv.fr/la-reunion/la-reunion</t>
        </is>
      </c>
    </row>
    <row r="9">
      <c r="A9" s="27" t="inlineStr">
        <is>
          <t>Annuaire de l'éducation (établissements scolaires)</t>
        </is>
      </c>
      <c r="B9" s="29" t="inlineStr">
        <is>
          <t>https://data.education.gouv.fr/explore/dataset/fr-en-annuaire-education/</t>
        </is>
      </c>
    </row>
    <row r="10">
      <c r="A10" s="27" t="inlineStr">
        <is>
          <t>Santé.fr – annuaire des établissements de santé (FINESS)</t>
        </is>
      </c>
      <c r="B10" s="29" t="inlineStr">
        <is>
          <t>https://www.sante.fr/</t>
        </is>
      </c>
    </row>
    <row r="11">
      <c r="A11" s="27" t="inlineStr">
        <is>
          <t>CIREST – communauté intercommunale Réunion Est</t>
        </is>
      </c>
      <c r="B11" s="29" t="inlineStr">
        <is>
          <t>https://www.cirest.fr/qui-sommes-nous/</t>
        </is>
      </c>
    </row>
    <row r="12">
      <c r="A12" s="27" t="inlineStr">
        <is>
          <t>CHU de La Réunion</t>
        </is>
      </c>
      <c r="B12" s="29" t="inlineStr">
        <is>
          <t>https://www.chu-reunion.fr/contact/</t>
        </is>
      </c>
    </row>
    <row r="13">
      <c r="A13" s="27" t="inlineStr">
        <is>
          <t>Groupe de santé Clinifutur</t>
        </is>
      </c>
      <c r="B13" s="29" t="inlineStr">
        <is>
          <t>https://www.clinifutur.net/</t>
        </is>
      </c>
    </row>
    <row r="14">
      <c r="A14" s="27" t="inlineStr">
        <is>
          <t>AURAR – centres de dialyse</t>
        </is>
      </c>
      <c r="B14" s="29" t="inlineStr">
        <is>
          <t>https://aurar.fr/nous-trouver/</t>
        </is>
      </c>
    </row>
    <row r="16">
      <c r="A16" s="21" t="inlineStr">
        <is>
          <t>LIMITES CONNUES</t>
        </is>
      </c>
    </row>
    <row r="17" ht="28" customHeight="1">
      <c r="A17" s="6" t="inlineStr">
        <is>
          <t>• Les NOMS des structures sont publics et fiables. Les ADRESSES proviennent de sources publiques et doivent être confirmées : la colonne « Fiabilité donnée » indique le niveau de confiance de chaque ligne.</t>
        </is>
      </c>
    </row>
    <row r="18" ht="28" customHeight="1">
      <c r="A18" s="6" t="inlineStr">
        <is>
          <t>• Les règles de financement CNFPT (montants, quotas, dates de campagne, liste des métiers en tension) changent chaque année. Revérifiez sur cnfpt.fr avant d'annoncer quoi que ce soit à un employeur.</t>
        </is>
      </c>
    </row>
    <row r="19" ht="28" customHeight="1">
      <c r="A19" s="6" t="inlineStr">
        <is>
          <t>• Les lignes « à lister » (autres lycées et collèges, EHPAD, ESAT, autres cliniques du groupe) sont des méthodes de recherche, pas des structures : à vous de les déplier commune par commune.</t>
        </is>
      </c>
    </row>
    <row r="20" ht="15" customHeight="1">
      <c r="A20" s="6" t="inlineStr">
        <is>
          <t>• Le GHER (Saint-Benoît) figure aussi dans le fichier de prospection logistique privée : un seul appel, pas deux.</t>
        </is>
      </c>
    </row>
    <row r="21" ht="15" customHeight="1">
      <c r="A21" s="6" t="inlineStr">
        <is>
          <t>• L'EPSMR est situé à Saint-Paul, hors du bassin Nord-Est : il n'est là que pour un candidat mobile.</t>
        </is>
      </c>
    </row>
  </sheetData>
  <mergeCells count="7">
    <mergeCell ref="A20:B20"/>
    <mergeCell ref="A21:B21"/>
    <mergeCell ref="A2:B2"/>
    <mergeCell ref="A19:B19"/>
    <mergeCell ref="A1:B1"/>
    <mergeCell ref="A17:B17"/>
    <mergeCell ref="A18:B18"/>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2026-09-05T09:40:43Z</dcterms:created>
  <dcterms:modified xsi:type="dcterms:W3CDTF">2026-09-05T09:40:44Z</dcterms:modified>
</cp:coreProperties>
</file>